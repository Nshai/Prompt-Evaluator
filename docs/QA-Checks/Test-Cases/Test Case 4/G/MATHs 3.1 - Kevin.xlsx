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fasleeds.sharepoint.com/sites/TFASTeam515/Shared Documents/Financial Services/Clients/Stead, Kevin + Angela/Research Documents/Pension Switch 2026/Other/"/>
    </mc:Choice>
  </mc:AlternateContent>
  <xr:revisionPtr revIDLastSave="409" documentId="8_{4AA91E8F-34C7-47EB-B1A3-754DEAFDF3B4}" xr6:coauthVersionLast="47" xr6:coauthVersionMax="47" xr10:uidLastSave="{CCF98317-EC79-4596-AF7B-816A89773189}"/>
  <bookViews>
    <workbookView xWindow="22932" yWindow="-108" windowWidth="23256" windowHeight="12456" activeTab="1" xr2:uid="{2B991D24-75F2-4142-B81B-BF745A689A7E}"/>
  </bookViews>
  <sheets>
    <sheet name="AWC" sheetId="1" r:id="rId1"/>
    <sheet name="Summary of plan charges " sheetId="3" r:id="rId2"/>
    <sheet name="Pension Switch charges only" sheetId="4" r:id="rId3"/>
    <sheet name="Charge comparison" sheetId="2" r:id="rId4"/>
    <sheet name="Our Charges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H8" i="2"/>
  <c r="H16" i="2" s="1"/>
  <c r="H7" i="2"/>
  <c r="H15" i="2" s="1"/>
  <c r="C4" i="3"/>
  <c r="K4" i="1"/>
  <c r="G6" i="4"/>
  <c r="G7" i="4"/>
  <c r="G8" i="4"/>
  <c r="G9" i="4"/>
  <c r="G10" i="4"/>
  <c r="G5" i="4"/>
  <c r="D6" i="4"/>
  <c r="D7" i="4"/>
  <c r="D8" i="4"/>
  <c r="D9" i="4"/>
  <c r="D10" i="4"/>
  <c r="A9" i="4"/>
  <c r="A10" i="4"/>
  <c r="A8" i="4"/>
  <c r="A7" i="4"/>
  <c r="A6" i="4"/>
  <c r="A5" i="4"/>
  <c r="H17" i="2"/>
  <c r="D17" i="2"/>
  <c r="D16" i="2"/>
  <c r="G29" i="1"/>
  <c r="E3" i="3" s="1"/>
  <c r="B11" i="5" s="1" a="1"/>
  <c r="B11" i="5" s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3" i="2" l="1"/>
  <c r="I7" i="4"/>
  <c r="I9" i="4"/>
  <c r="I6" i="4"/>
  <c r="K6" i="2"/>
  <c r="B3" i="5"/>
  <c r="B7" i="5" s="1" a="1"/>
  <c r="B7" i="5" s="1"/>
  <c r="I8" i="4"/>
  <c r="H10" i="2"/>
  <c r="A5" i="3"/>
  <c r="B5" i="3"/>
  <c r="I5" i="4"/>
  <c r="I10" i="4"/>
  <c r="K7" i="4" a="1"/>
  <c r="K7" i="4" s="1"/>
  <c r="M7" i="4" s="1"/>
  <c r="K8" i="4" a="1"/>
  <c r="K8" i="4" s="1"/>
  <c r="M8" i="4" s="1"/>
  <c r="K9" i="4" a="1"/>
  <c r="K9" i="4" s="1"/>
  <c r="M9" i="4" s="1"/>
  <c r="K10" i="4" a="1"/>
  <c r="K10" i="4" s="1"/>
  <c r="M10" i="4" s="1"/>
  <c r="K6" i="4" a="1"/>
  <c r="K6" i="4" s="1"/>
  <c r="M6" i="4" s="1"/>
  <c r="K5" i="4" a="1"/>
  <c r="K5" i="4" s="1"/>
  <c r="M5" i="4" s="1"/>
  <c r="C5" i="3"/>
  <c r="H20" i="2"/>
  <c r="K29" i="1"/>
  <c r="O3" i="1" s="1"/>
  <c r="D7" i="2" s="1"/>
  <c r="D15" i="2" l="1"/>
  <c r="D20" i="2" s="1"/>
  <c r="F21" i="2" s="1"/>
  <c r="D10" i="2"/>
  <c r="F11" i="2" s="1"/>
  <c r="L14" i="2" l="1"/>
  <c r="K20" i="2"/>
  <c r="L20" i="2"/>
  <c r="K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tc={91CE291E-6DE7-42F5-B2FB-F64A71514A03}</author>
  </authors>
  <commentList>
    <comment ref="E3" authorId="0" shapeId="0" xr:uid="{91CE291E-6DE7-42F5-B2FB-F64A71514A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the client already has money on the platform, override this value with the Current platform Value + transfer value amount.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tc={1D66CF04-BEA2-47F5-9913-41F504DA2D72}</author>
  </authors>
  <commentList>
    <comment ref="B11" authorId="0" shapeId="0" xr:uid="{1D66CF04-BEA2-47F5-9913-41F504DA2D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Should be inclusive of current platform funds if they have them.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<sst xmlns="http://schemas.openxmlformats.org/spreadsheetml/2006/main" count="70" uniqueCount="44">
  <si>
    <t xml:space="preserve">Average weighted Calculator </t>
  </si>
  <si>
    <t xml:space="preserve">Funds </t>
  </si>
  <si>
    <t xml:space="preserve">Value of Fund </t>
  </si>
  <si>
    <t xml:space="preserve">AMC </t>
  </si>
  <si>
    <t xml:space="preserve">Expense £ AMT </t>
  </si>
  <si>
    <t xml:space="preserve">Average weighted
 fund charge </t>
  </si>
  <si>
    <t xml:space="preserve">Total's </t>
  </si>
  <si>
    <t xml:space="preserve">Investment Switch Calculations </t>
  </si>
  <si>
    <t xml:space="preserve">Current Value </t>
  </si>
  <si>
    <t xml:space="preserve">Like for Like Ex Adviser charge </t>
  </si>
  <si>
    <t xml:space="preserve">Current plan </t>
  </si>
  <si>
    <t>Proposed Plan</t>
  </si>
  <si>
    <t xml:space="preserve">Transfer amount </t>
  </si>
  <si>
    <t xml:space="preserve">Provider </t>
  </si>
  <si>
    <t>Mix</t>
  </si>
  <si>
    <t>Aviva</t>
  </si>
  <si>
    <t xml:space="preserve">Exit Charge </t>
  </si>
  <si>
    <t xml:space="preserve">Other </t>
  </si>
  <si>
    <t xml:space="preserve">Total Charge </t>
  </si>
  <si>
    <t xml:space="preserve">Charges difference </t>
  </si>
  <si>
    <t xml:space="preserve">Like for Like Inc Adviser charge </t>
  </si>
  <si>
    <t>Ex Adviser charge</t>
  </si>
  <si>
    <t xml:space="preserve">Performance (just charges) </t>
  </si>
  <si>
    <t>Inc Adviser charge</t>
  </si>
  <si>
    <t xml:space="preserve">OAF </t>
  </si>
  <si>
    <t>IAF</t>
  </si>
  <si>
    <t xml:space="preserve">Platform charge </t>
  </si>
  <si>
    <t xml:space="preserve">Summary of plan charges </t>
  </si>
  <si>
    <t xml:space="preserve">Platform </t>
  </si>
  <si>
    <t xml:space="preserve">Investment Management </t>
  </si>
  <si>
    <t xml:space="preserve">Total </t>
  </si>
  <si>
    <t xml:space="preserve">Pension Switch Charges Only </t>
  </si>
  <si>
    <t xml:space="preserve">Current Plan </t>
  </si>
  <si>
    <t xml:space="preserve">Current Annual charge </t>
  </si>
  <si>
    <t xml:space="preserve">Percentage </t>
  </si>
  <si>
    <t xml:space="preserve">Value </t>
  </si>
  <si>
    <t xml:space="preserve">Impact of the recommended solution </t>
  </si>
  <si>
    <t xml:space="preserve">Name </t>
  </si>
  <si>
    <t xml:space="preserve">Current Total Value </t>
  </si>
  <si>
    <t xml:space="preserve">Transfer Value </t>
  </si>
  <si>
    <t xml:space="preserve">Investment charge </t>
  </si>
  <si>
    <t xml:space="preserve">IAF </t>
  </si>
  <si>
    <t xml:space="preserve">Pru </t>
  </si>
  <si>
    <t xml:space="preserve">Standard Life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</si>
</sst>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&quot;£&quot;#,##0"/>
    <numFmt numFmtId="165" formatCode="&quot;£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15" xfId="0" applyFill="1" applyBorder="1"/>
    <xf numFmtId="0" fontId="0" fillId="2" borderId="14" xfId="0" applyFill="1" applyBorder="1"/>
    <xf numFmtId="0" fontId="0" fillId="2" borderId="16" xfId="0" applyFill="1" applyBorder="1"/>
    <xf numFmtId="164" fontId="6" fillId="0" borderId="0" xfId="1" applyNumberFormat="1" applyFont="1" applyFill="1" applyBorder="1" applyAlignment="1">
      <alignment vertical="center"/>
    </xf>
    <xf numFmtId="0" fontId="0" fillId="2" borderId="36" xfId="0" applyFill="1" applyBorder="1" applyAlignment="1">
      <alignment horizontal="center" vertical="center"/>
    </xf>
    <xf numFmtId="0" fontId="0" fillId="0" borderId="1" xfId="0" applyBorder="1"/>
    <xf numFmtId="165" fontId="0" fillId="0" borderId="37" xfId="0" applyNumberFormat="1" applyBorder="1"/>
    <xf numFmtId="165" fontId="0" fillId="0" borderId="21" xfId="0" applyNumberFormat="1" applyBorder="1"/>
    <xf numFmtId="10" fontId="0" fillId="3" borderId="38" xfId="2" applyNumberFormat="1" applyFont="1" applyFill="1" applyBorder="1" applyAlignment="1"/>
    <xf numFmtId="10" fontId="0" fillId="3" borderId="39" xfId="2" applyNumberFormat="1" applyFont="1" applyFill="1" applyBorder="1" applyAlignment="1"/>
    <xf numFmtId="0" fontId="0" fillId="0" borderId="30" xfId="0" applyBorder="1"/>
    <xf numFmtId="165" fontId="0" fillId="0" borderId="22" xfId="0" applyNumberFormat="1" applyBorder="1"/>
    <xf numFmtId="0" fontId="0" fillId="0" borderId="36" xfId="0" applyBorder="1" applyAlignment="1">
      <alignment horizontal="center" vertical="center"/>
    </xf>
    <xf numFmtId="44" fontId="0" fillId="0" borderId="36" xfId="1" applyFont="1" applyBorder="1"/>
    <xf numFmtId="10" fontId="4" fillId="0" borderId="0" xfId="2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0" fontId="4" fillId="0" borderId="36" xfId="2" applyNumberFormat="1" applyFont="1" applyBorder="1" applyAlignment="1">
      <alignment horizontal="center" vertical="center"/>
    </xf>
    <xf numFmtId="164" fontId="7" fillId="2" borderId="36" xfId="1" applyNumberFormat="1" applyFont="1" applyFill="1" applyBorder="1" applyAlignment="1">
      <alignment horizontal="center" vertical="center"/>
    </xf>
    <xf numFmtId="10" fontId="0" fillId="2" borderId="40" xfId="2" applyNumberFormat="1" applyFont="1" applyFill="1" applyBorder="1" applyAlignment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 vertical="center"/>
    </xf>
    <xf numFmtId="164" fontId="6" fillId="2" borderId="2" xfId="1" applyNumberFormat="1" applyFont="1" applyFill="1" applyBorder="1" applyAlignment="1">
      <alignment horizontal="center" vertical="center"/>
    </xf>
    <xf numFmtId="164" fontId="6" fillId="2" borderId="3" xfId="1" applyNumberFormat="1" applyFont="1" applyFill="1" applyBorder="1" applyAlignment="1">
      <alignment horizontal="center" vertical="center"/>
    </xf>
    <xf numFmtId="164" fontId="6" fillId="2" borderId="14" xfId="1" applyNumberFormat="1" applyFont="1" applyFill="1" applyBorder="1" applyAlignment="1">
      <alignment horizontal="center" vertical="center"/>
    </xf>
    <xf numFmtId="164" fontId="6" fillId="2" borderId="15" xfId="1" applyNumberFormat="1" applyFont="1" applyFill="1" applyBorder="1" applyAlignment="1">
      <alignment horizontal="center" vertical="center"/>
    </xf>
    <xf numFmtId="164" fontId="6" fillId="2" borderId="16" xfId="1" applyNumberFormat="1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0" fontId="0" fillId="2" borderId="26" xfId="2" applyNumberFormat="1" applyFont="1" applyFill="1" applyBorder="1" applyAlignment="1">
      <alignment horizontal="center"/>
    </xf>
    <xf numFmtId="10" fontId="0" fillId="2" borderId="27" xfId="2" applyNumberFormat="1" applyFont="1" applyFill="1" applyBorder="1" applyAlignment="1">
      <alignment horizontal="center"/>
    </xf>
    <xf numFmtId="10" fontId="0" fillId="3" borderId="17" xfId="2" applyNumberFormat="1" applyFont="1" applyFill="1" applyBorder="1" applyAlignment="1">
      <alignment horizontal="center"/>
    </xf>
    <xf numFmtId="10" fontId="0" fillId="3" borderId="10" xfId="2" applyNumberFormat="1" applyFont="1" applyFill="1" applyBorder="1" applyAlignment="1">
      <alignment horizontal="center"/>
    </xf>
    <xf numFmtId="10" fontId="0" fillId="2" borderId="17" xfId="2" applyNumberFormat="1" applyFont="1" applyFill="1" applyBorder="1" applyAlignment="1">
      <alignment horizontal="center"/>
    </xf>
    <xf numFmtId="10" fontId="0" fillId="2" borderId="10" xfId="2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0" fontId="0" fillId="2" borderId="28" xfId="2" applyNumberFormat="1" applyFont="1" applyFill="1" applyBorder="1" applyAlignment="1">
      <alignment horizontal="center"/>
    </xf>
    <xf numFmtId="10" fontId="0" fillId="2" borderId="29" xfId="2" applyNumberFormat="1" applyFont="1" applyFill="1" applyBorder="1" applyAlignment="1">
      <alignment horizontal="center"/>
    </xf>
    <xf numFmtId="10" fontId="0" fillId="2" borderId="6" xfId="0" applyNumberForma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0" fontId="7" fillId="2" borderId="30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6" fillId="2" borderId="14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10" fontId="0" fillId="0" borderId="12" xfId="2" applyNumberFormat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44" fontId="0" fillId="0" borderId="33" xfId="1" applyFont="1" applyBorder="1" applyAlignment="1">
      <alignment horizontal="center" vertical="center"/>
    </xf>
    <xf numFmtId="44" fontId="0" fillId="0" borderId="34" xfId="1" applyFont="1" applyBorder="1" applyAlignment="1">
      <alignment horizontal="center" vertical="center"/>
    </xf>
    <xf numFmtId="10" fontId="0" fillId="0" borderId="34" xfId="2" applyNumberFormat="1" applyFont="1" applyBorder="1" applyAlignment="1">
      <alignment horizontal="center" vertical="center"/>
    </xf>
    <xf numFmtId="44" fontId="0" fillId="0" borderId="35" xfId="1" applyFont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44" fontId="0" fillId="0" borderId="21" xfId="1" applyFont="1" applyBorder="1" applyAlignment="1">
      <alignment horizontal="center" vertical="center"/>
    </xf>
    <xf numFmtId="9" fontId="0" fillId="0" borderId="21" xfId="2" applyFont="1" applyBorder="1" applyAlignment="1">
      <alignment horizontal="center" vertical="center"/>
    </xf>
    <xf numFmtId="44" fontId="0" fillId="0" borderId="22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6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12" xfId="0" applyBorder="1" applyAlignment="1">
      <alignment horizontal="center"/>
    </xf>
    <xf numFmtId="44" fontId="0" fillId="0" borderId="12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1" xfId="0" applyBorder="1" applyAlignment="1">
      <alignment horizontal="center"/>
    </xf>
    <xf numFmtId="44" fontId="0" fillId="0" borderId="21" xfId="0" applyNumberFormat="1" applyBorder="1" applyAlignment="1">
      <alignment horizontal="center"/>
    </xf>
    <xf numFmtId="0" fontId="0" fillId="0" borderId="44" xfId="0" applyBorder="1" applyAlignment="1">
      <alignment horizontal="center"/>
    </xf>
    <xf numFmtId="10" fontId="0" fillId="0" borderId="37" xfId="2" applyNumberFormat="1" applyFont="1" applyBorder="1" applyAlignment="1">
      <alignment horizontal="center" vertical="center"/>
    </xf>
    <xf numFmtId="10" fontId="0" fillId="0" borderId="21" xfId="2" applyNumberFormat="1" applyFont="1" applyBorder="1" applyAlignment="1">
      <alignment horizontal="center" vertical="center"/>
    </xf>
    <xf numFmtId="44" fontId="0" fillId="0" borderId="44" xfId="1" applyFont="1" applyBorder="1" applyAlignment="1">
      <alignment horizontal="center" vertical="center"/>
    </xf>
    <xf numFmtId="10" fontId="0" fillId="0" borderId="37" xfId="1" applyNumberFormat="1" applyFont="1" applyBorder="1" applyAlignment="1">
      <alignment horizontal="center" vertical="center"/>
    </xf>
    <xf numFmtId="10" fontId="0" fillId="0" borderId="41" xfId="2" applyNumberFormat="1" applyFont="1" applyBorder="1" applyAlignment="1">
      <alignment horizontal="center" vertical="center"/>
    </xf>
    <xf numFmtId="44" fontId="0" fillId="0" borderId="43" xfId="1" applyFont="1" applyBorder="1" applyAlignment="1">
      <alignment horizontal="center" vertical="center"/>
    </xf>
    <xf numFmtId="10" fontId="0" fillId="0" borderId="41" xfId="1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4" fontId="0" fillId="0" borderId="39" xfId="1" applyFont="1" applyBorder="1" applyAlignment="1">
      <alignment horizontal="center" vertical="center"/>
    </xf>
    <xf numFmtId="44" fontId="0" fillId="0" borderId="40" xfId="1" applyFont="1" applyBorder="1" applyAlignment="1">
      <alignment horizontal="center" vertical="center"/>
    </xf>
    <xf numFmtId="44" fontId="0" fillId="0" borderId="34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2" xfId="0" applyBorder="1" applyAlignment="1">
      <alignment horizontal="center"/>
    </xf>
    <xf numFmtId="10" fontId="0" fillId="0" borderId="38" xfId="2" applyNumberFormat="1" applyFont="1" applyBorder="1" applyAlignment="1">
      <alignment horizontal="center" vertical="center"/>
    </xf>
    <xf numFmtId="10" fontId="0" fillId="0" borderId="39" xfId="2" applyNumberFormat="1" applyFont="1" applyBorder="1" applyAlignment="1">
      <alignment horizontal="center" vertical="center"/>
    </xf>
    <xf numFmtId="44" fontId="0" fillId="0" borderId="45" xfId="1" applyFont="1" applyBorder="1" applyAlignment="1">
      <alignment horizontal="center" vertical="center"/>
    </xf>
    <xf numFmtId="10" fontId="0" fillId="0" borderId="38" xfId="1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yle Jenkinson" id="{D4C79002-EC44-4BEF-975A-F3A7B19A1B03}" userId="S::Kyle.Jenkinson@tfas.com::5111f9f2-ae34-4499-9043-19ade4b9d5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09-29T14:32:19.63" personId="{D4C79002-EC44-4BEF-975A-F3A7B19A1B03}" id="{91CE291E-6DE7-42F5-B2FB-F64A71514A03}">
    <text xml:space="preserve">If the client already has money on the platform, override this value with the Current platform Value + transfer value amount.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9-29T14:35:57.03" personId="{D4C79002-EC44-4BEF-975A-F3A7B19A1B03}" id="{1D66CF04-BEA2-47F5-9913-41F504DA2D72}">
    <text xml:space="preserve">Should be inclusive of current platform funds if they have them.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3183B-239B-484E-BF38-AB2A5C748E51}">
  <dimension ref="A1:Q29"/>
  <sheetViews>
    <sheetView workbookViewId="0">
      <selection activeCell="G5" sqref="G5:H5"/>
    </sheetView>
  </sheetViews>
  <sheetFormatPr defaultRowHeight="15" x14ac:dyDescent="0.25"/>
  <cols>
    <col min="15" max="15" width="24.140625" customWidth="1"/>
  </cols>
  <sheetData>
    <row r="1" spans="1:17" ht="31.5" customHeight="1" x14ac:dyDescent="0.2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3"/>
      <c r="O1" s="68" t="s">
        <v>5</v>
      </c>
    </row>
    <row r="2" spans="1:17" ht="8.25" customHeight="1" thickBot="1" x14ac:dyDescent="0.3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6"/>
      <c r="O2" s="69"/>
    </row>
    <row r="3" spans="1:17" ht="29.25" thickBot="1" x14ac:dyDescent="0.3">
      <c r="A3" s="97" t="s">
        <v>1</v>
      </c>
      <c r="B3" s="98"/>
      <c r="C3" s="98"/>
      <c r="D3" s="98"/>
      <c r="E3" s="98"/>
      <c r="F3" s="99"/>
      <c r="G3" s="97" t="s">
        <v>2</v>
      </c>
      <c r="H3" s="99"/>
      <c r="I3" s="98" t="s">
        <v>3</v>
      </c>
      <c r="J3" s="98"/>
      <c r="K3" s="100" t="s">
        <v>4</v>
      </c>
      <c r="L3" s="101"/>
      <c r="O3" s="23">
        <f>K29/G29</f>
        <v>9.5788813993649396E-3</v>
      </c>
    </row>
    <row r="4" spans="1:17" x14ac:dyDescent="0.25">
      <c r="A4" s="102" t="s">
        <v>42</v>
      </c>
      <c r="B4" s="103"/>
      <c r="C4" s="103"/>
      <c r="D4" s="103"/>
      <c r="E4" s="103"/>
      <c r="F4" s="104"/>
      <c r="G4" s="77">
        <v>136071</v>
      </c>
      <c r="H4" s="78"/>
      <c r="I4" s="79">
        <v>9.4999999999999998E-3</v>
      </c>
      <c r="J4" s="79"/>
      <c r="K4" s="78">
        <f>G4*I4</f>
        <v>1292.6745000000001</v>
      </c>
      <c r="L4" s="80"/>
    </row>
    <row r="5" spans="1:17" ht="15" customHeight="1" x14ac:dyDescent="0.25">
      <c r="A5" s="81" t="s">
        <v>43</v>
      </c>
      <c r="B5" s="82"/>
      <c r="C5" s="82"/>
      <c r="D5" s="82"/>
      <c r="E5" s="82"/>
      <c r="F5" s="83"/>
      <c r="G5" s="73">
        <v>25488</v>
      </c>
      <c r="H5" s="74"/>
      <c r="I5" s="75">
        <v>0.01</v>
      </c>
      <c r="J5" s="75"/>
      <c r="K5" s="74">
        <f>G5*I5</f>
        <v>254.88</v>
      </c>
      <c r="L5" s="76"/>
      <c r="P5" s="22"/>
      <c r="Q5" s="22"/>
    </row>
    <row r="6" spans="1:17" ht="15.75" customHeight="1" x14ac:dyDescent="0.25">
      <c r="A6" s="81"/>
      <c r="B6" s="82"/>
      <c r="C6" s="82"/>
      <c r="D6" s="82"/>
      <c r="E6" s="82"/>
      <c r="F6" s="83"/>
      <c r="G6" s="73"/>
      <c r="H6" s="74"/>
      <c r="I6" s="75"/>
      <c r="J6" s="75"/>
      <c r="K6" s="74">
        <f>G6*I6</f>
        <v>0</v>
      </c>
      <c r="L6" s="76"/>
      <c r="O6" s="22"/>
      <c r="P6" s="22"/>
      <c r="Q6" s="22"/>
    </row>
    <row r="7" spans="1:17" ht="15" customHeight="1" x14ac:dyDescent="0.25">
      <c r="A7" s="70"/>
      <c r="B7" s="71"/>
      <c r="C7" s="71"/>
      <c r="D7" s="71"/>
      <c r="E7" s="71"/>
      <c r="F7" s="72"/>
      <c r="G7" s="73"/>
      <c r="H7" s="74"/>
      <c r="I7" s="75"/>
      <c r="J7" s="75"/>
      <c r="K7" s="74">
        <f t="shared" ref="K7:K28" si="0">G7*I7</f>
        <v>0</v>
      </c>
      <c r="L7" s="76"/>
      <c r="P7" s="21"/>
      <c r="Q7" s="21"/>
    </row>
    <row r="8" spans="1:17" ht="15" customHeight="1" x14ac:dyDescent="0.25">
      <c r="A8" s="70"/>
      <c r="B8" s="71"/>
      <c r="C8" s="71"/>
      <c r="D8" s="71"/>
      <c r="E8" s="71"/>
      <c r="F8" s="72"/>
      <c r="G8" s="73"/>
      <c r="H8" s="74"/>
      <c r="I8" s="75"/>
      <c r="J8" s="75"/>
      <c r="K8" s="74">
        <f t="shared" si="0"/>
        <v>0</v>
      </c>
      <c r="L8" s="76"/>
      <c r="O8" s="21"/>
      <c r="P8" s="21"/>
      <c r="Q8" s="21"/>
    </row>
    <row r="9" spans="1:17" ht="15" customHeight="1" x14ac:dyDescent="0.25">
      <c r="A9" s="70"/>
      <c r="B9" s="71"/>
      <c r="C9" s="71"/>
      <c r="D9" s="71"/>
      <c r="E9" s="71"/>
      <c r="F9" s="72"/>
      <c r="G9" s="73"/>
      <c r="H9" s="74"/>
      <c r="I9" s="75"/>
      <c r="J9" s="75"/>
      <c r="K9" s="74">
        <f t="shared" si="0"/>
        <v>0</v>
      </c>
      <c r="L9" s="76"/>
      <c r="O9" s="21"/>
      <c r="P9" s="21"/>
      <c r="Q9" s="21"/>
    </row>
    <row r="10" spans="1:17" ht="15" customHeight="1" x14ac:dyDescent="0.25">
      <c r="A10" s="70"/>
      <c r="B10" s="71"/>
      <c r="C10" s="71"/>
      <c r="D10" s="71"/>
      <c r="E10" s="71"/>
      <c r="F10" s="72"/>
      <c r="G10" s="73">
        <v>0</v>
      </c>
      <c r="H10" s="74"/>
      <c r="I10" s="75">
        <v>0</v>
      </c>
      <c r="J10" s="75"/>
      <c r="K10" s="74">
        <f t="shared" si="0"/>
        <v>0</v>
      </c>
      <c r="L10" s="76"/>
      <c r="O10" s="21"/>
      <c r="P10" s="21"/>
      <c r="Q10" s="21"/>
    </row>
    <row r="11" spans="1:17" ht="15.75" customHeight="1" x14ac:dyDescent="0.25">
      <c r="A11" s="70"/>
      <c r="B11" s="71"/>
      <c r="C11" s="71"/>
      <c r="D11" s="71"/>
      <c r="E11" s="71"/>
      <c r="F11" s="72"/>
      <c r="G11" s="73">
        <v>0</v>
      </c>
      <c r="H11" s="74"/>
      <c r="I11" s="75">
        <v>0</v>
      </c>
      <c r="J11" s="75"/>
      <c r="K11" s="74">
        <f t="shared" si="0"/>
        <v>0</v>
      </c>
      <c r="L11" s="76"/>
      <c r="O11" s="21"/>
      <c r="P11" s="21"/>
      <c r="Q11" s="21"/>
    </row>
    <row r="12" spans="1:17" x14ac:dyDescent="0.25">
      <c r="A12" s="70"/>
      <c r="B12" s="71"/>
      <c r="C12" s="71"/>
      <c r="D12" s="71"/>
      <c r="E12" s="71"/>
      <c r="F12" s="72"/>
      <c r="G12" s="73">
        <v>0</v>
      </c>
      <c r="H12" s="74"/>
      <c r="I12" s="75">
        <v>0</v>
      </c>
      <c r="J12" s="75"/>
      <c r="K12" s="74">
        <f t="shared" si="0"/>
        <v>0</v>
      </c>
      <c r="L12" s="76"/>
    </row>
    <row r="13" spans="1:17" x14ac:dyDescent="0.25">
      <c r="A13" s="70"/>
      <c r="B13" s="71"/>
      <c r="C13" s="71"/>
      <c r="D13" s="71"/>
      <c r="E13" s="71"/>
      <c r="F13" s="72"/>
      <c r="G13" s="73">
        <v>0</v>
      </c>
      <c r="H13" s="74"/>
      <c r="I13" s="75">
        <v>0</v>
      </c>
      <c r="J13" s="75"/>
      <c r="K13" s="74">
        <f t="shared" si="0"/>
        <v>0</v>
      </c>
      <c r="L13" s="76"/>
    </row>
    <row r="14" spans="1:17" x14ac:dyDescent="0.25">
      <c r="A14" s="70"/>
      <c r="B14" s="71"/>
      <c r="C14" s="71"/>
      <c r="D14" s="71"/>
      <c r="E14" s="71"/>
      <c r="F14" s="72"/>
      <c r="G14" s="73">
        <v>0</v>
      </c>
      <c r="H14" s="74"/>
      <c r="I14" s="75">
        <v>0</v>
      </c>
      <c r="J14" s="75"/>
      <c r="K14" s="74">
        <f t="shared" si="0"/>
        <v>0</v>
      </c>
      <c r="L14" s="76"/>
    </row>
    <row r="15" spans="1:17" x14ac:dyDescent="0.25">
      <c r="A15" s="70"/>
      <c r="B15" s="71"/>
      <c r="C15" s="71"/>
      <c r="D15" s="71"/>
      <c r="E15" s="71"/>
      <c r="F15" s="72"/>
      <c r="G15" s="73">
        <v>0</v>
      </c>
      <c r="H15" s="74"/>
      <c r="I15" s="75">
        <v>0</v>
      </c>
      <c r="J15" s="75"/>
      <c r="K15" s="74">
        <f t="shared" si="0"/>
        <v>0</v>
      </c>
      <c r="L15" s="76"/>
    </row>
    <row r="16" spans="1:17" x14ac:dyDescent="0.25">
      <c r="A16" s="70"/>
      <c r="B16" s="71"/>
      <c r="C16" s="71"/>
      <c r="D16" s="71"/>
      <c r="E16" s="71"/>
      <c r="F16" s="72"/>
      <c r="G16" s="73">
        <v>0</v>
      </c>
      <c r="H16" s="74"/>
      <c r="I16" s="75">
        <v>0</v>
      </c>
      <c r="J16" s="75"/>
      <c r="K16" s="74">
        <f t="shared" si="0"/>
        <v>0</v>
      </c>
      <c r="L16" s="76"/>
    </row>
    <row r="17" spans="1:12" x14ac:dyDescent="0.25">
      <c r="A17" s="70"/>
      <c r="B17" s="71"/>
      <c r="C17" s="71"/>
      <c r="D17" s="71"/>
      <c r="E17" s="71"/>
      <c r="F17" s="72"/>
      <c r="G17" s="73">
        <v>0</v>
      </c>
      <c r="H17" s="74"/>
      <c r="I17" s="75">
        <v>0</v>
      </c>
      <c r="J17" s="75"/>
      <c r="K17" s="74">
        <f t="shared" si="0"/>
        <v>0</v>
      </c>
      <c r="L17" s="76"/>
    </row>
    <row r="18" spans="1:12" x14ac:dyDescent="0.25">
      <c r="A18" s="70"/>
      <c r="B18" s="71"/>
      <c r="C18" s="71"/>
      <c r="D18" s="71"/>
      <c r="E18" s="71"/>
      <c r="F18" s="72"/>
      <c r="G18" s="73">
        <v>0</v>
      </c>
      <c r="H18" s="74"/>
      <c r="I18" s="75">
        <v>0</v>
      </c>
      <c r="J18" s="75"/>
      <c r="K18" s="74">
        <f t="shared" si="0"/>
        <v>0</v>
      </c>
      <c r="L18" s="76"/>
    </row>
    <row r="19" spans="1:12" x14ac:dyDescent="0.25">
      <c r="A19" s="70"/>
      <c r="B19" s="71"/>
      <c r="C19" s="71"/>
      <c r="D19" s="71"/>
      <c r="E19" s="71"/>
      <c r="F19" s="72"/>
      <c r="G19" s="73">
        <v>0</v>
      </c>
      <c r="H19" s="74"/>
      <c r="I19" s="75">
        <v>0</v>
      </c>
      <c r="J19" s="75"/>
      <c r="K19" s="74">
        <f t="shared" si="0"/>
        <v>0</v>
      </c>
      <c r="L19" s="76"/>
    </row>
    <row r="20" spans="1:12" x14ac:dyDescent="0.25">
      <c r="A20" s="70"/>
      <c r="B20" s="71"/>
      <c r="C20" s="71"/>
      <c r="D20" s="71"/>
      <c r="E20" s="71"/>
      <c r="F20" s="72"/>
      <c r="G20" s="73">
        <v>0</v>
      </c>
      <c r="H20" s="74"/>
      <c r="I20" s="75">
        <v>0</v>
      </c>
      <c r="J20" s="75"/>
      <c r="K20" s="74">
        <f t="shared" si="0"/>
        <v>0</v>
      </c>
      <c r="L20" s="76"/>
    </row>
    <row r="21" spans="1:12" x14ac:dyDescent="0.25">
      <c r="A21" s="70"/>
      <c r="B21" s="71"/>
      <c r="C21" s="71"/>
      <c r="D21" s="71"/>
      <c r="E21" s="71"/>
      <c r="F21" s="72"/>
      <c r="G21" s="73">
        <v>0</v>
      </c>
      <c r="H21" s="74"/>
      <c r="I21" s="75">
        <v>0</v>
      </c>
      <c r="J21" s="75"/>
      <c r="K21" s="74">
        <f t="shared" si="0"/>
        <v>0</v>
      </c>
      <c r="L21" s="76"/>
    </row>
    <row r="22" spans="1:12" x14ac:dyDescent="0.25">
      <c r="A22" s="70"/>
      <c r="B22" s="71"/>
      <c r="C22" s="71"/>
      <c r="D22" s="71"/>
      <c r="E22" s="71"/>
      <c r="F22" s="72"/>
      <c r="G22" s="73">
        <v>0</v>
      </c>
      <c r="H22" s="74"/>
      <c r="I22" s="75">
        <v>0</v>
      </c>
      <c r="J22" s="75"/>
      <c r="K22" s="74">
        <f t="shared" si="0"/>
        <v>0</v>
      </c>
      <c r="L22" s="76"/>
    </row>
    <row r="23" spans="1:12" x14ac:dyDescent="0.25">
      <c r="A23" s="70"/>
      <c r="B23" s="71"/>
      <c r="C23" s="71"/>
      <c r="D23" s="71"/>
      <c r="E23" s="71"/>
      <c r="F23" s="72"/>
      <c r="G23" s="73">
        <v>0</v>
      </c>
      <c r="H23" s="74"/>
      <c r="I23" s="75">
        <v>0</v>
      </c>
      <c r="J23" s="75"/>
      <c r="K23" s="74">
        <f t="shared" si="0"/>
        <v>0</v>
      </c>
      <c r="L23" s="76"/>
    </row>
    <row r="24" spans="1:12" x14ac:dyDescent="0.25">
      <c r="A24" s="70"/>
      <c r="B24" s="71"/>
      <c r="C24" s="71"/>
      <c r="D24" s="71"/>
      <c r="E24" s="71"/>
      <c r="F24" s="72"/>
      <c r="G24" s="73">
        <v>0</v>
      </c>
      <c r="H24" s="74"/>
      <c r="I24" s="75">
        <v>0</v>
      </c>
      <c r="J24" s="75"/>
      <c r="K24" s="74">
        <f t="shared" si="0"/>
        <v>0</v>
      </c>
      <c r="L24" s="76"/>
    </row>
    <row r="25" spans="1:12" x14ac:dyDescent="0.25">
      <c r="A25" s="70"/>
      <c r="B25" s="71"/>
      <c r="C25" s="71"/>
      <c r="D25" s="71"/>
      <c r="E25" s="71"/>
      <c r="F25" s="72"/>
      <c r="G25" s="73">
        <v>0</v>
      </c>
      <c r="H25" s="74"/>
      <c r="I25" s="75">
        <v>0</v>
      </c>
      <c r="J25" s="75"/>
      <c r="K25" s="74">
        <f t="shared" si="0"/>
        <v>0</v>
      </c>
      <c r="L25" s="76"/>
    </row>
    <row r="26" spans="1:12" x14ac:dyDescent="0.25">
      <c r="A26" s="70"/>
      <c r="B26" s="71"/>
      <c r="C26" s="71"/>
      <c r="D26" s="71"/>
      <c r="E26" s="71"/>
      <c r="F26" s="72"/>
      <c r="G26" s="73">
        <v>0</v>
      </c>
      <c r="H26" s="74"/>
      <c r="I26" s="75">
        <v>0</v>
      </c>
      <c r="J26" s="75"/>
      <c r="K26" s="74">
        <f t="shared" si="0"/>
        <v>0</v>
      </c>
      <c r="L26" s="76"/>
    </row>
    <row r="27" spans="1:12" x14ac:dyDescent="0.25">
      <c r="A27" s="70"/>
      <c r="B27" s="71"/>
      <c r="C27" s="71"/>
      <c r="D27" s="71"/>
      <c r="E27" s="71"/>
      <c r="F27" s="72"/>
      <c r="G27" s="73">
        <v>0</v>
      </c>
      <c r="H27" s="74"/>
      <c r="I27" s="75">
        <v>0</v>
      </c>
      <c r="J27" s="75"/>
      <c r="K27" s="74">
        <f t="shared" si="0"/>
        <v>0</v>
      </c>
      <c r="L27" s="76"/>
    </row>
    <row r="28" spans="1:12" x14ac:dyDescent="0.25">
      <c r="A28" s="70"/>
      <c r="B28" s="71"/>
      <c r="C28" s="71"/>
      <c r="D28" s="71"/>
      <c r="E28" s="71"/>
      <c r="F28" s="72"/>
      <c r="G28" s="73">
        <v>0</v>
      </c>
      <c r="H28" s="74"/>
      <c r="I28" s="75">
        <v>0</v>
      </c>
      <c r="J28" s="75"/>
      <c r="K28" s="74">
        <f t="shared" si="0"/>
        <v>0</v>
      </c>
      <c r="L28" s="76"/>
    </row>
    <row r="29" spans="1:12" ht="15.75" thickBot="1" x14ac:dyDescent="0.3">
      <c r="A29" s="84" t="s">
        <v>6</v>
      </c>
      <c r="B29" s="85"/>
      <c r="C29" s="85"/>
      <c r="D29" s="85"/>
      <c r="E29" s="85"/>
      <c r="F29" s="86"/>
      <c r="G29" s="87">
        <f>SUM(G4:H28)</f>
        <v>161559</v>
      </c>
      <c r="H29" s="88"/>
      <c r="I29" s="89"/>
      <c r="J29" s="89"/>
      <c r="K29" s="88">
        <f>SUM(K4:L28)</f>
        <v>1547.5545000000002</v>
      </c>
      <c r="L29" s="90"/>
    </row>
  </sheetData>
  <mergeCells count="110">
    <mergeCell ref="G16:H16"/>
    <mergeCell ref="I16:J16"/>
    <mergeCell ref="K16:L16"/>
    <mergeCell ref="A14:F14"/>
    <mergeCell ref="G14:H14"/>
    <mergeCell ref="I14:J14"/>
    <mergeCell ref="K14:L14"/>
    <mergeCell ref="A15:F15"/>
    <mergeCell ref="G15:H15"/>
    <mergeCell ref="I15:J15"/>
    <mergeCell ref="K15:L15"/>
    <mergeCell ref="A16:F16"/>
    <mergeCell ref="A12:F12"/>
    <mergeCell ref="G12:H12"/>
    <mergeCell ref="I12:J12"/>
    <mergeCell ref="K12:L12"/>
    <mergeCell ref="A13:F13"/>
    <mergeCell ref="G13:H13"/>
    <mergeCell ref="I13:J13"/>
    <mergeCell ref="K13:L13"/>
    <mergeCell ref="A10:F10"/>
    <mergeCell ref="G10:H10"/>
    <mergeCell ref="I10:J10"/>
    <mergeCell ref="K10:L10"/>
    <mergeCell ref="A11:F11"/>
    <mergeCell ref="G11:H11"/>
    <mergeCell ref="I11:J11"/>
    <mergeCell ref="K11:L11"/>
    <mergeCell ref="A9:F9"/>
    <mergeCell ref="G9:H9"/>
    <mergeCell ref="I9:J9"/>
    <mergeCell ref="K9:L9"/>
    <mergeCell ref="A6:F6"/>
    <mergeCell ref="G6:H6"/>
    <mergeCell ref="I6:J6"/>
    <mergeCell ref="K6:L6"/>
    <mergeCell ref="A7:F7"/>
    <mergeCell ref="G7:H7"/>
    <mergeCell ref="I7:J7"/>
    <mergeCell ref="K7:L7"/>
    <mergeCell ref="A1:L2"/>
    <mergeCell ref="A3:F3"/>
    <mergeCell ref="G3:H3"/>
    <mergeCell ref="I3:J3"/>
    <mergeCell ref="K3:L3"/>
    <mergeCell ref="A4:F4"/>
    <mergeCell ref="A8:F8"/>
    <mergeCell ref="G8:H8"/>
    <mergeCell ref="I8:J8"/>
    <mergeCell ref="K8:L8"/>
    <mergeCell ref="A29:F29"/>
    <mergeCell ref="G29:H29"/>
    <mergeCell ref="I29:J29"/>
    <mergeCell ref="K29:L29"/>
    <mergeCell ref="A27:F27"/>
    <mergeCell ref="G27:H27"/>
    <mergeCell ref="I27:J27"/>
    <mergeCell ref="K27:L27"/>
    <mergeCell ref="A28:F28"/>
    <mergeCell ref="G28:H28"/>
    <mergeCell ref="I28:J28"/>
    <mergeCell ref="K28:L28"/>
    <mergeCell ref="A25:F25"/>
    <mergeCell ref="G25:H25"/>
    <mergeCell ref="I25:J25"/>
    <mergeCell ref="K25:L25"/>
    <mergeCell ref="A26:F26"/>
    <mergeCell ref="G26:H26"/>
    <mergeCell ref="I26:J26"/>
    <mergeCell ref="K26:L26"/>
    <mergeCell ref="G23:H23"/>
    <mergeCell ref="I23:J23"/>
    <mergeCell ref="K23:L23"/>
    <mergeCell ref="A24:F24"/>
    <mergeCell ref="G24:H24"/>
    <mergeCell ref="I24:J24"/>
    <mergeCell ref="K24:L24"/>
    <mergeCell ref="A21:F21"/>
    <mergeCell ref="G21:H21"/>
    <mergeCell ref="I21:J21"/>
    <mergeCell ref="K21:L21"/>
    <mergeCell ref="A22:F22"/>
    <mergeCell ref="G22:H22"/>
    <mergeCell ref="I22:J22"/>
    <mergeCell ref="K22:L22"/>
    <mergeCell ref="A23:F23"/>
    <mergeCell ref="O1:O2"/>
    <mergeCell ref="A19:F19"/>
    <mergeCell ref="G19:H19"/>
    <mergeCell ref="I19:J19"/>
    <mergeCell ref="K19:L19"/>
    <mergeCell ref="A20:F20"/>
    <mergeCell ref="G20:H20"/>
    <mergeCell ref="I20:J20"/>
    <mergeCell ref="K20:L20"/>
    <mergeCell ref="A17:F17"/>
    <mergeCell ref="G17:H17"/>
    <mergeCell ref="I17:J17"/>
    <mergeCell ref="K17:L17"/>
    <mergeCell ref="A18:F18"/>
    <mergeCell ref="G18:H18"/>
    <mergeCell ref="I18:J18"/>
    <mergeCell ref="K18:L18"/>
    <mergeCell ref="G4:H4"/>
    <mergeCell ref="I4:J4"/>
    <mergeCell ref="K4:L4"/>
    <mergeCell ref="A5:F5"/>
    <mergeCell ref="G5:H5"/>
    <mergeCell ref="I5:J5"/>
    <mergeCell ref="K5:L5"/>
  </mergeCells>
  <dataValidations count="1">
    <dataValidation allowBlank="1" showInputMessage="1" showErrorMessage="1" promptTitle="Fund alloaction " prompt="Fund Allocation could also be known as assets. List all funds invested in " sqref="A4:F4" xr:uid="{F070EEEB-9256-4553-A2B7-2E7EB506DF3C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036A6-5690-4DAB-B50C-9242340E24FF}">
  <dimension ref="A1:E5"/>
  <sheetViews>
    <sheetView tabSelected="1" workbookViewId="0">
      <selection activeCell="H9" sqref="H9"/>
    </sheetView>
  </sheetViews>
  <sheetFormatPr defaultRowHeight="15" x14ac:dyDescent="0.25"/>
  <cols>
    <col min="1" max="2" width="27.28515625" customWidth="1"/>
    <col min="3" max="3" width="28" customWidth="1"/>
    <col min="5" max="5" width="17.7109375" customWidth="1"/>
  </cols>
  <sheetData>
    <row r="1" spans="1:5" ht="15.75" customHeight="1" thickBot="1" x14ac:dyDescent="0.3">
      <c r="A1" s="105" t="s">
        <v>27</v>
      </c>
      <c r="B1" s="106"/>
      <c r="C1" s="107"/>
    </row>
    <row r="2" spans="1:5" ht="15.75" customHeight="1" thickBot="1" x14ac:dyDescent="0.3">
      <c r="A2" s="108"/>
      <c r="B2" s="109"/>
      <c r="C2" s="110"/>
      <c r="E2" s="11" t="s">
        <v>38</v>
      </c>
    </row>
    <row r="3" spans="1:5" ht="15.75" customHeight="1" thickBot="1" x14ac:dyDescent="0.3">
      <c r="A3" s="12" t="s">
        <v>28</v>
      </c>
      <c r="B3" s="12" t="s">
        <v>29</v>
      </c>
      <c r="C3" s="17" t="s">
        <v>30</v>
      </c>
      <c r="E3" s="24">
        <f>AWC!G29</f>
        <v>161559</v>
      </c>
    </row>
    <row r="4" spans="1:5" ht="15.75" customHeight="1" x14ac:dyDescent="0.25">
      <c r="A4" s="15">
        <v>2.0999999999999999E-3</v>
      </c>
      <c r="B4" s="16">
        <v>2.3999999999999998E-3</v>
      </c>
      <c r="C4" s="25">
        <f>A4+B4</f>
        <v>4.4999999999999997E-3</v>
      </c>
      <c r="E4" s="10"/>
    </row>
    <row r="5" spans="1:5" ht="15.75" thickBot="1" x14ac:dyDescent="0.3">
      <c r="A5" s="13">
        <f>E3*A4</f>
        <v>339.27389999999997</v>
      </c>
      <c r="B5" s="14">
        <f>E3*B4</f>
        <v>387.74159999999995</v>
      </c>
      <c r="C5" s="18">
        <f>E3*C4</f>
        <v>727.01549999999997</v>
      </c>
    </row>
  </sheetData>
  <mergeCells count="1">
    <mergeCell ref="A1:C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8789-0742-492F-ACD4-5D9B81FCC267}">
  <dimension ref="A1:N10"/>
  <sheetViews>
    <sheetView workbookViewId="0">
      <selection activeCell="A5" sqref="A5:C5"/>
    </sheetView>
  </sheetViews>
  <sheetFormatPr defaultRowHeight="15" x14ac:dyDescent="0.25"/>
  <cols>
    <col min="2" max="2" width="6.85546875" customWidth="1"/>
    <col min="3" max="3" width="6" customWidth="1"/>
    <col min="4" max="4" width="6.42578125" customWidth="1"/>
    <col min="5" max="5" width="6.140625" customWidth="1"/>
    <col min="6" max="6" width="7.42578125" customWidth="1"/>
  </cols>
  <sheetData>
    <row r="1" spans="1:14" ht="15" customHeight="1" x14ac:dyDescent="0.25">
      <c r="A1" s="91" t="s">
        <v>31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3"/>
    </row>
    <row r="2" spans="1:14" ht="15.75" customHeight="1" thickBot="1" x14ac:dyDescent="0.3">
      <c r="A2" s="126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8"/>
    </row>
    <row r="3" spans="1:14" ht="15.75" thickBot="1" x14ac:dyDescent="0.3">
      <c r="A3" s="133" t="s">
        <v>32</v>
      </c>
      <c r="B3" s="132"/>
      <c r="C3" s="132"/>
      <c r="D3" s="132"/>
      <c r="E3" s="132"/>
      <c r="F3" s="134"/>
      <c r="G3" s="129" t="s">
        <v>33</v>
      </c>
      <c r="H3" s="130"/>
      <c r="I3" s="130"/>
      <c r="J3" s="131"/>
      <c r="K3" s="129" t="s">
        <v>36</v>
      </c>
      <c r="L3" s="130"/>
      <c r="M3" s="130"/>
      <c r="N3" s="131"/>
    </row>
    <row r="4" spans="1:14" ht="15.75" thickBot="1" x14ac:dyDescent="0.3">
      <c r="A4" s="133" t="s">
        <v>37</v>
      </c>
      <c r="B4" s="132"/>
      <c r="C4" s="134"/>
      <c r="D4" s="129" t="s">
        <v>35</v>
      </c>
      <c r="E4" s="130"/>
      <c r="F4" s="131"/>
      <c r="G4" s="132" t="s">
        <v>34</v>
      </c>
      <c r="H4" s="132"/>
      <c r="I4" s="133" t="s">
        <v>35</v>
      </c>
      <c r="J4" s="134"/>
      <c r="K4" s="132" t="s">
        <v>34</v>
      </c>
      <c r="L4" s="132"/>
      <c r="M4" s="133" t="s">
        <v>35</v>
      </c>
      <c r="N4" s="134"/>
    </row>
    <row r="5" spans="1:14" x14ac:dyDescent="0.25">
      <c r="A5" s="135" t="str">
        <f>AWC!A4</f>
        <v xml:space="preserve">Pru </v>
      </c>
      <c r="B5" s="136"/>
      <c r="C5" s="136"/>
      <c r="D5" s="139">
        <f>AWC!G4</f>
        <v>136071</v>
      </c>
      <c r="E5" s="140"/>
      <c r="F5" s="141"/>
      <c r="G5" s="142">
        <f>AWC!I4</f>
        <v>9.4999999999999998E-3</v>
      </c>
      <c r="H5" s="143"/>
      <c r="I5" s="137">
        <f>D5*G5</f>
        <v>1292.6745000000001</v>
      </c>
      <c r="J5" s="144"/>
      <c r="K5" s="145" cm="1">
        <f t="array" ref="K5">G5-'Summary of plan charges '!C4:C4</f>
        <v>5.0000000000000001E-3</v>
      </c>
      <c r="L5" s="137"/>
      <c r="M5" s="137">
        <f>D5*K5</f>
        <v>680.35500000000002</v>
      </c>
      <c r="N5" s="138"/>
    </row>
    <row r="6" spans="1:14" x14ac:dyDescent="0.25">
      <c r="A6" s="111" t="str">
        <f>AWC!A5</f>
        <v xml:space="preserve">Standard Life </v>
      </c>
      <c r="B6" s="112"/>
      <c r="C6" s="112"/>
      <c r="D6" s="113">
        <f>AWC!G5</f>
        <v>25488</v>
      </c>
      <c r="E6" s="112"/>
      <c r="F6" s="114"/>
      <c r="G6" s="123">
        <f>AWC!I5</f>
        <v>0.01</v>
      </c>
      <c r="H6" s="75"/>
      <c r="I6" s="74">
        <f t="shared" ref="I6:I10" si="0">D6*G6</f>
        <v>254.88</v>
      </c>
      <c r="J6" s="124"/>
      <c r="K6" s="125" cm="1">
        <f t="array" ref="K6">G6-'Summary of plan charges '!C4:C4</f>
        <v>5.5000000000000005E-3</v>
      </c>
      <c r="L6" s="74"/>
      <c r="M6" s="74">
        <f t="shared" ref="M6:M10" si="1">D6*K6</f>
        <v>140.18400000000003</v>
      </c>
      <c r="N6" s="76"/>
    </row>
    <row r="7" spans="1:14" x14ac:dyDescent="0.25">
      <c r="A7" s="111">
        <f>AWC!A6</f>
        <v>0</v>
      </c>
      <c r="B7" s="112"/>
      <c r="C7" s="112"/>
      <c r="D7" s="113">
        <f>AWC!G6</f>
        <v>0</v>
      </c>
      <c r="E7" s="112"/>
      <c r="F7" s="114"/>
      <c r="G7" s="123">
        <f>AWC!I6</f>
        <v>0</v>
      </c>
      <c r="H7" s="75"/>
      <c r="I7" s="74">
        <f t="shared" si="0"/>
        <v>0</v>
      </c>
      <c r="J7" s="124"/>
      <c r="K7" s="125" cm="1">
        <f t="array" ref="K7">G7-'Summary of plan charges '!C4:C4</f>
        <v>-4.4999999999999997E-3</v>
      </c>
      <c r="L7" s="74"/>
      <c r="M7" s="74">
        <f t="shared" si="1"/>
        <v>0</v>
      </c>
      <c r="N7" s="76"/>
    </row>
    <row r="8" spans="1:14" x14ac:dyDescent="0.25">
      <c r="A8" s="111">
        <f>AWC!A7</f>
        <v>0</v>
      </c>
      <c r="B8" s="112"/>
      <c r="C8" s="112"/>
      <c r="D8" s="113">
        <f>AWC!G7</f>
        <v>0</v>
      </c>
      <c r="E8" s="112"/>
      <c r="F8" s="114"/>
      <c r="G8" s="123">
        <f>AWC!I7</f>
        <v>0</v>
      </c>
      <c r="H8" s="75"/>
      <c r="I8" s="74">
        <f t="shared" si="0"/>
        <v>0</v>
      </c>
      <c r="J8" s="124"/>
      <c r="K8" s="125" cm="1">
        <f t="array" ref="K8">G8-'Summary of plan charges '!C4:C4</f>
        <v>-4.4999999999999997E-3</v>
      </c>
      <c r="L8" s="74"/>
      <c r="M8" s="74">
        <f t="shared" si="1"/>
        <v>0</v>
      </c>
      <c r="N8" s="76"/>
    </row>
    <row r="9" spans="1:14" x14ac:dyDescent="0.25">
      <c r="A9" s="111">
        <f>AWC!A8</f>
        <v>0</v>
      </c>
      <c r="B9" s="112"/>
      <c r="C9" s="112"/>
      <c r="D9" s="113">
        <f>AWC!G8</f>
        <v>0</v>
      </c>
      <c r="E9" s="112"/>
      <c r="F9" s="114"/>
      <c r="G9" s="123">
        <f>AWC!I8</f>
        <v>0</v>
      </c>
      <c r="H9" s="75"/>
      <c r="I9" s="74">
        <f t="shared" si="0"/>
        <v>0</v>
      </c>
      <c r="J9" s="124"/>
      <c r="K9" s="125" cm="1">
        <f t="array" ref="K9">G9-'Summary of plan charges '!C4:C4</f>
        <v>-4.4999999999999997E-3</v>
      </c>
      <c r="L9" s="74"/>
      <c r="M9" s="74">
        <f t="shared" si="1"/>
        <v>0</v>
      </c>
      <c r="N9" s="76"/>
    </row>
    <row r="10" spans="1:14" ht="15.75" thickBot="1" x14ac:dyDescent="0.3">
      <c r="A10" s="115">
        <f>AWC!A9</f>
        <v>0</v>
      </c>
      <c r="B10" s="116"/>
      <c r="C10" s="116"/>
      <c r="D10" s="117">
        <f>AWC!G9</f>
        <v>0</v>
      </c>
      <c r="E10" s="116"/>
      <c r="F10" s="118"/>
      <c r="G10" s="119">
        <f>AWC!I9</f>
        <v>0</v>
      </c>
      <c r="H10" s="120"/>
      <c r="I10" s="88">
        <f t="shared" si="0"/>
        <v>0</v>
      </c>
      <c r="J10" s="121"/>
      <c r="K10" s="122" cm="1">
        <f t="array" ref="K10">G10-'Summary of plan charges '!C4:C4</f>
        <v>-4.4999999999999997E-3</v>
      </c>
      <c r="L10" s="88"/>
      <c r="M10" s="88">
        <f t="shared" si="1"/>
        <v>0</v>
      </c>
      <c r="N10" s="90"/>
    </row>
  </sheetData>
  <mergeCells count="46">
    <mergeCell ref="G5:H5"/>
    <mergeCell ref="I5:J5"/>
    <mergeCell ref="K5:L5"/>
    <mergeCell ref="G3:J3"/>
    <mergeCell ref="I7:J7"/>
    <mergeCell ref="K7:L7"/>
    <mergeCell ref="I6:J6"/>
    <mergeCell ref="K6:L6"/>
    <mergeCell ref="G7:H7"/>
    <mergeCell ref="D6:F6"/>
    <mergeCell ref="A7:C7"/>
    <mergeCell ref="A8:C8"/>
    <mergeCell ref="A5:C5"/>
    <mergeCell ref="M5:N5"/>
    <mergeCell ref="M6:N6"/>
    <mergeCell ref="M7:N7"/>
    <mergeCell ref="M8:N8"/>
    <mergeCell ref="D5:F5"/>
    <mergeCell ref="D7:F7"/>
    <mergeCell ref="D8:F8"/>
    <mergeCell ref="A6:C6"/>
    <mergeCell ref="G8:H8"/>
    <mergeCell ref="I8:J8"/>
    <mergeCell ref="K8:L8"/>
    <mergeCell ref="G6:H6"/>
    <mergeCell ref="A1:N2"/>
    <mergeCell ref="K3:N3"/>
    <mergeCell ref="K4:L4"/>
    <mergeCell ref="M4:N4"/>
    <mergeCell ref="A4:C4"/>
    <mergeCell ref="D4:F4"/>
    <mergeCell ref="G4:H4"/>
    <mergeCell ref="I4:J4"/>
    <mergeCell ref="A3:F3"/>
    <mergeCell ref="A9:C9"/>
    <mergeCell ref="D9:F9"/>
    <mergeCell ref="A10:C10"/>
    <mergeCell ref="D10:F10"/>
    <mergeCell ref="M10:N10"/>
    <mergeCell ref="M9:N9"/>
    <mergeCell ref="G10:H10"/>
    <mergeCell ref="I10:J10"/>
    <mergeCell ref="K10:L10"/>
    <mergeCell ref="G9:H9"/>
    <mergeCell ref="I9:J9"/>
    <mergeCell ref="K9:L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AB75-DDAB-4F29-9D3B-C56E23FDEA87}">
  <dimension ref="A1:N23"/>
  <sheetViews>
    <sheetView workbookViewId="0">
      <selection activeCell="AA24" sqref="AA24"/>
    </sheetView>
  </sheetViews>
  <sheetFormatPr defaultRowHeight="15" x14ac:dyDescent="0.25"/>
  <sheetData>
    <row r="1" spans="1:14" ht="15.75" thickBot="1" x14ac:dyDescent="0.3">
      <c r="A1" s="1"/>
      <c r="B1" s="26" t="s">
        <v>7</v>
      </c>
      <c r="C1" s="27"/>
      <c r="D1" s="27"/>
      <c r="E1" s="27"/>
      <c r="F1" s="27"/>
      <c r="G1" s="27"/>
      <c r="H1" s="27"/>
      <c r="I1" s="28"/>
      <c r="J1" s="2"/>
      <c r="K1" s="2"/>
      <c r="L1" s="2"/>
      <c r="M1" s="2"/>
      <c r="N1" s="3"/>
    </row>
    <row r="2" spans="1:14" ht="15.75" thickBot="1" x14ac:dyDescent="0.3">
      <c r="A2" s="4"/>
      <c r="B2" s="29"/>
      <c r="C2" s="30"/>
      <c r="D2" s="30"/>
      <c r="E2" s="30"/>
      <c r="F2" s="30"/>
      <c r="G2" s="30"/>
      <c r="H2" s="30"/>
      <c r="I2" s="31"/>
      <c r="J2" s="5"/>
      <c r="K2" s="35" t="s">
        <v>8</v>
      </c>
      <c r="L2" s="36"/>
      <c r="M2" s="37"/>
      <c r="N2" s="6"/>
    </row>
    <row r="3" spans="1:14" ht="15.75" thickBot="1" x14ac:dyDescent="0.3">
      <c r="A3" s="4"/>
      <c r="B3" s="32"/>
      <c r="C3" s="33"/>
      <c r="D3" s="33"/>
      <c r="E3" s="33"/>
      <c r="F3" s="33"/>
      <c r="G3" s="33"/>
      <c r="H3" s="33"/>
      <c r="I3" s="34"/>
      <c r="J3" s="5"/>
      <c r="K3" s="38">
        <f>AWC!G29</f>
        <v>161559</v>
      </c>
      <c r="L3" s="39"/>
      <c r="M3" s="40"/>
      <c r="N3" s="6"/>
    </row>
    <row r="4" spans="1:14" ht="15.75" thickBot="1" x14ac:dyDescent="0.3">
      <c r="A4" s="4"/>
      <c r="B4" s="35" t="s">
        <v>9</v>
      </c>
      <c r="C4" s="36"/>
      <c r="D4" s="36"/>
      <c r="E4" s="36"/>
      <c r="F4" s="36"/>
      <c r="G4" s="36"/>
      <c r="H4" s="36"/>
      <c r="I4" s="37"/>
      <c r="J4" s="5"/>
      <c r="K4" s="41"/>
      <c r="L4" s="42"/>
      <c r="M4" s="43"/>
      <c r="N4" s="6"/>
    </row>
    <row r="5" spans="1:14" ht="15.75" thickBot="1" x14ac:dyDescent="0.3">
      <c r="A5" s="4"/>
      <c r="B5" s="35" t="s">
        <v>10</v>
      </c>
      <c r="C5" s="36"/>
      <c r="D5" s="36"/>
      <c r="E5" s="37"/>
      <c r="F5" s="35" t="s">
        <v>11</v>
      </c>
      <c r="G5" s="36"/>
      <c r="H5" s="36"/>
      <c r="I5" s="37"/>
      <c r="J5" s="5"/>
      <c r="K5" s="35" t="s">
        <v>12</v>
      </c>
      <c r="L5" s="36"/>
      <c r="M5" s="37"/>
      <c r="N5" s="6"/>
    </row>
    <row r="6" spans="1:14" ht="15.75" thickBot="1" x14ac:dyDescent="0.3">
      <c r="A6" s="4"/>
      <c r="B6" s="35" t="s">
        <v>13</v>
      </c>
      <c r="C6" s="37"/>
      <c r="D6" s="44" t="s">
        <v>14</v>
      </c>
      <c r="E6" s="45"/>
      <c r="F6" s="35" t="s">
        <v>13</v>
      </c>
      <c r="G6" s="37"/>
      <c r="H6" s="44" t="s">
        <v>15</v>
      </c>
      <c r="I6" s="45"/>
      <c r="J6" s="5"/>
      <c r="K6" s="38">
        <f>K3*(1-D9)</f>
        <v>161559</v>
      </c>
      <c r="L6" s="39"/>
      <c r="M6" s="40"/>
      <c r="N6" s="6"/>
    </row>
    <row r="7" spans="1:14" ht="15.75" thickBot="1" x14ac:dyDescent="0.3">
      <c r="A7" s="4"/>
      <c r="B7" s="35" t="s">
        <v>26</v>
      </c>
      <c r="C7" s="37"/>
      <c r="D7" s="46">
        <f>AWC!O3</f>
        <v>9.5788813993649396E-3</v>
      </c>
      <c r="E7" s="47"/>
      <c r="F7" s="35" t="s">
        <v>26</v>
      </c>
      <c r="G7" s="37"/>
      <c r="H7" s="46">
        <f>'Summary of plan charges '!A4</f>
        <v>2.0999999999999999E-3</v>
      </c>
      <c r="I7" s="47"/>
      <c r="J7" s="5"/>
      <c r="K7" s="41"/>
      <c r="L7" s="42"/>
      <c r="M7" s="43"/>
      <c r="N7" s="6"/>
    </row>
    <row r="8" spans="1:14" ht="15.75" thickBot="1" x14ac:dyDescent="0.3">
      <c r="A8" s="4"/>
      <c r="B8" s="35" t="s">
        <v>40</v>
      </c>
      <c r="C8" s="37"/>
      <c r="D8" s="48">
        <v>0</v>
      </c>
      <c r="E8" s="49"/>
      <c r="F8" s="35" t="s">
        <v>40</v>
      </c>
      <c r="G8" s="37"/>
      <c r="H8" s="50">
        <f>'Summary of plan charges '!B4</f>
        <v>2.3999999999999998E-3</v>
      </c>
      <c r="I8" s="51"/>
      <c r="J8" s="5"/>
      <c r="K8" s="5"/>
      <c r="L8" s="5"/>
      <c r="M8" s="5"/>
      <c r="N8" s="6"/>
    </row>
    <row r="9" spans="1:14" ht="15.75" thickBot="1" x14ac:dyDescent="0.3">
      <c r="A9" s="4"/>
      <c r="B9" s="35" t="s">
        <v>16</v>
      </c>
      <c r="C9" s="37"/>
      <c r="D9" s="48">
        <v>0</v>
      </c>
      <c r="E9" s="49"/>
      <c r="F9" s="35" t="s">
        <v>17</v>
      </c>
      <c r="G9" s="37"/>
      <c r="H9" s="48">
        <v>0</v>
      </c>
      <c r="I9" s="49"/>
      <c r="J9" s="5"/>
      <c r="K9" s="5"/>
      <c r="L9" s="5"/>
      <c r="M9" s="5"/>
      <c r="N9" s="6"/>
    </row>
    <row r="10" spans="1:14" ht="15.75" thickBot="1" x14ac:dyDescent="0.3">
      <c r="A10" s="4"/>
      <c r="B10" s="52" t="s">
        <v>18</v>
      </c>
      <c r="C10" s="53"/>
      <c r="D10" s="54">
        <f>SUM(D7:E8)</f>
        <v>9.5788813993649396E-3</v>
      </c>
      <c r="E10" s="55"/>
      <c r="F10" s="52" t="s">
        <v>18</v>
      </c>
      <c r="G10" s="53"/>
      <c r="H10" s="54">
        <f>SUM(H7:I9)</f>
        <v>4.4999999999999997E-3</v>
      </c>
      <c r="I10" s="55"/>
      <c r="J10" s="5"/>
      <c r="K10" s="5"/>
      <c r="L10" s="5"/>
      <c r="M10" s="5"/>
      <c r="N10" s="6"/>
    </row>
    <row r="11" spans="1:14" ht="15.75" thickBot="1" x14ac:dyDescent="0.3">
      <c r="A11" s="4"/>
      <c r="B11" s="35" t="s">
        <v>19</v>
      </c>
      <c r="C11" s="36"/>
      <c r="D11" s="36"/>
      <c r="E11" s="37"/>
      <c r="F11" s="56">
        <f>ROUND(D10-H10,4)</f>
        <v>5.1000000000000004E-3</v>
      </c>
      <c r="G11" s="36"/>
      <c r="H11" s="36"/>
      <c r="I11" s="37"/>
      <c r="J11" s="5"/>
      <c r="K11" s="7"/>
      <c r="L11" s="7"/>
      <c r="M11" s="7"/>
      <c r="N11" s="6"/>
    </row>
    <row r="12" spans="1:14" ht="15.75" customHeight="1" thickBot="1" x14ac:dyDescent="0.3">
      <c r="A12" s="4"/>
      <c r="B12" s="35" t="s">
        <v>20</v>
      </c>
      <c r="C12" s="36"/>
      <c r="D12" s="36"/>
      <c r="E12" s="36"/>
      <c r="F12" s="36"/>
      <c r="G12" s="36"/>
      <c r="H12" s="36"/>
      <c r="I12" s="37"/>
      <c r="J12" s="5"/>
      <c r="K12" s="57" t="s">
        <v>21</v>
      </c>
      <c r="L12" s="58"/>
      <c r="M12" s="59"/>
      <c r="N12" s="6"/>
    </row>
    <row r="13" spans="1:14" ht="15.75" thickBot="1" x14ac:dyDescent="0.3">
      <c r="A13" s="4"/>
      <c r="B13" s="35" t="s">
        <v>10</v>
      </c>
      <c r="C13" s="36"/>
      <c r="D13" s="36"/>
      <c r="E13" s="37"/>
      <c r="F13" s="35" t="s">
        <v>11</v>
      </c>
      <c r="G13" s="36"/>
      <c r="H13" s="36"/>
      <c r="I13" s="37"/>
      <c r="J13" s="5"/>
      <c r="K13" s="35" t="s">
        <v>22</v>
      </c>
      <c r="L13" s="36"/>
      <c r="M13" s="37"/>
      <c r="N13" s="6"/>
    </row>
    <row r="14" spans="1:14" ht="15.75" thickBot="1" x14ac:dyDescent="0.3">
      <c r="A14" s="4"/>
      <c r="B14" s="35" t="s">
        <v>13</v>
      </c>
      <c r="C14" s="37"/>
      <c r="D14" s="44" t="s">
        <v>14</v>
      </c>
      <c r="E14" s="45"/>
      <c r="F14" s="35" t="s">
        <v>13</v>
      </c>
      <c r="G14" s="37"/>
      <c r="H14" s="44" t="s">
        <v>15</v>
      </c>
      <c r="I14" s="45"/>
      <c r="J14" s="5"/>
      <c r="K14" s="60">
        <f>F11</f>
        <v>5.1000000000000004E-3</v>
      </c>
      <c r="L14" s="62">
        <f>K6*F11</f>
        <v>823.95090000000005</v>
      </c>
      <c r="M14" s="63"/>
      <c r="N14" s="6"/>
    </row>
    <row r="15" spans="1:14" ht="15.75" thickBot="1" x14ac:dyDescent="0.3">
      <c r="A15" s="4"/>
      <c r="B15" s="35" t="s">
        <v>26</v>
      </c>
      <c r="C15" s="37"/>
      <c r="D15" s="46">
        <f>D7</f>
        <v>9.5788813993649396E-3</v>
      </c>
      <c r="E15" s="47"/>
      <c r="F15" s="66" t="s">
        <v>26</v>
      </c>
      <c r="G15" s="67"/>
      <c r="H15" s="46">
        <f>H7</f>
        <v>2.0999999999999999E-3</v>
      </c>
      <c r="I15" s="47"/>
      <c r="J15" s="5"/>
      <c r="K15" s="61"/>
      <c r="L15" s="64"/>
      <c r="M15" s="65"/>
      <c r="N15" s="6"/>
    </row>
    <row r="16" spans="1:14" ht="15.75" thickBot="1" x14ac:dyDescent="0.3">
      <c r="A16" s="4"/>
      <c r="B16" s="35" t="s">
        <v>40</v>
      </c>
      <c r="C16" s="37"/>
      <c r="D16" s="50">
        <f>D8</f>
        <v>0</v>
      </c>
      <c r="E16" s="51"/>
      <c r="F16" s="35" t="s">
        <v>40</v>
      </c>
      <c r="G16" s="37"/>
      <c r="H16" s="50">
        <f>H8</f>
        <v>2.3999999999999998E-3</v>
      </c>
      <c r="I16" s="51"/>
      <c r="J16" s="5"/>
      <c r="K16" s="5"/>
      <c r="L16" s="5"/>
      <c r="M16" s="5"/>
      <c r="N16" s="6"/>
    </row>
    <row r="17" spans="1:14" ht="15.75" customHeight="1" thickBot="1" x14ac:dyDescent="0.3">
      <c r="A17" s="4"/>
      <c r="B17" s="35" t="s">
        <v>16</v>
      </c>
      <c r="C17" s="37"/>
      <c r="D17" s="50">
        <f>D9</f>
        <v>0</v>
      </c>
      <c r="E17" s="51"/>
      <c r="F17" s="35" t="s">
        <v>17</v>
      </c>
      <c r="G17" s="37"/>
      <c r="H17" s="50">
        <f>H9</f>
        <v>0</v>
      </c>
      <c r="I17" s="51"/>
      <c r="J17" s="5"/>
      <c r="K17" s="5"/>
      <c r="L17" s="5"/>
      <c r="M17" s="5"/>
      <c r="N17" s="6"/>
    </row>
    <row r="18" spans="1:14" ht="15.75" customHeight="1" thickBot="1" x14ac:dyDescent="0.3">
      <c r="A18" s="4"/>
      <c r="B18" s="35" t="s">
        <v>25</v>
      </c>
      <c r="C18" s="37"/>
      <c r="D18" s="48">
        <v>0</v>
      </c>
      <c r="E18" s="49"/>
      <c r="F18" s="35" t="s">
        <v>25</v>
      </c>
      <c r="G18" s="37"/>
      <c r="H18" s="48">
        <v>0.03</v>
      </c>
      <c r="I18" s="49"/>
      <c r="J18" s="5"/>
      <c r="K18" s="57" t="s">
        <v>23</v>
      </c>
      <c r="L18" s="58"/>
      <c r="M18" s="59"/>
      <c r="N18" s="6"/>
    </row>
    <row r="19" spans="1:14" ht="15.75" thickBot="1" x14ac:dyDescent="0.3">
      <c r="A19" s="4"/>
      <c r="B19" s="35" t="s">
        <v>24</v>
      </c>
      <c r="C19" s="37"/>
      <c r="D19" s="48">
        <v>0</v>
      </c>
      <c r="E19" s="49"/>
      <c r="F19" s="35" t="s">
        <v>24</v>
      </c>
      <c r="G19" s="37"/>
      <c r="H19" s="48">
        <v>0.01</v>
      </c>
      <c r="I19" s="49"/>
      <c r="J19" s="5"/>
      <c r="K19" s="35" t="s">
        <v>22</v>
      </c>
      <c r="L19" s="36"/>
      <c r="M19" s="37"/>
      <c r="N19" s="6"/>
    </row>
    <row r="20" spans="1:14" ht="15.75" thickBot="1" x14ac:dyDescent="0.3">
      <c r="A20" s="4"/>
      <c r="B20" s="52" t="s">
        <v>18</v>
      </c>
      <c r="C20" s="53"/>
      <c r="D20" s="54">
        <f>SUM(D15:E16)+D19</f>
        <v>9.5788813993649396E-3</v>
      </c>
      <c r="E20" s="55"/>
      <c r="F20" s="52" t="s">
        <v>18</v>
      </c>
      <c r="G20" s="53"/>
      <c r="H20" s="54">
        <f>SUM(H15:I19)</f>
        <v>4.4499999999999998E-2</v>
      </c>
      <c r="I20" s="55"/>
      <c r="J20" s="5"/>
      <c r="K20" s="60">
        <f>F21</f>
        <v>-3.49E-2</v>
      </c>
      <c r="L20" s="62">
        <f>K6*F21</f>
        <v>-5638.4090999999999</v>
      </c>
      <c r="M20" s="63"/>
      <c r="N20" s="6"/>
    </row>
    <row r="21" spans="1:14" ht="15.75" thickBot="1" x14ac:dyDescent="0.3">
      <c r="A21" s="4"/>
      <c r="B21" s="35" t="s">
        <v>19</v>
      </c>
      <c r="C21" s="36"/>
      <c r="D21" s="36"/>
      <c r="E21" s="37"/>
      <c r="F21" s="56">
        <f>ROUND(D20-H20,4)</f>
        <v>-3.49E-2</v>
      </c>
      <c r="G21" s="36"/>
      <c r="H21" s="36"/>
      <c r="I21" s="37"/>
      <c r="J21" s="5"/>
      <c r="K21" s="61"/>
      <c r="L21" s="64"/>
      <c r="M21" s="65"/>
      <c r="N21" s="6"/>
    </row>
    <row r="22" spans="1:14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1:14" ht="15.75" thickBot="1" x14ac:dyDescent="0.3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9"/>
    </row>
  </sheetData>
  <mergeCells count="71">
    <mergeCell ref="F18:G18"/>
    <mergeCell ref="H18:I18"/>
    <mergeCell ref="B20:C20"/>
    <mergeCell ref="D20:E20"/>
    <mergeCell ref="F20:G20"/>
    <mergeCell ref="H20:I20"/>
    <mergeCell ref="K20:K21"/>
    <mergeCell ref="L20:M21"/>
    <mergeCell ref="B21:E21"/>
    <mergeCell ref="F21:I21"/>
    <mergeCell ref="B17:C17"/>
    <mergeCell ref="D17:E17"/>
    <mergeCell ref="F17:G17"/>
    <mergeCell ref="H17:I17"/>
    <mergeCell ref="K18:M18"/>
    <mergeCell ref="B19:C19"/>
    <mergeCell ref="D19:E19"/>
    <mergeCell ref="F19:G19"/>
    <mergeCell ref="H19:I19"/>
    <mergeCell ref="K19:M19"/>
    <mergeCell ref="B18:C18"/>
    <mergeCell ref="D18:E18"/>
    <mergeCell ref="B16:C16"/>
    <mergeCell ref="D16:E16"/>
    <mergeCell ref="F16:G16"/>
    <mergeCell ref="H16:I16"/>
    <mergeCell ref="B12:I12"/>
    <mergeCell ref="B15:C15"/>
    <mergeCell ref="D15:E15"/>
    <mergeCell ref="F15:G15"/>
    <mergeCell ref="H15:I15"/>
    <mergeCell ref="K12:M12"/>
    <mergeCell ref="B13:E13"/>
    <mergeCell ref="F13:I13"/>
    <mergeCell ref="K13:M13"/>
    <mergeCell ref="B14:C14"/>
    <mergeCell ref="D14:E14"/>
    <mergeCell ref="F14:G14"/>
    <mergeCell ref="H14:I14"/>
    <mergeCell ref="K14:K15"/>
    <mergeCell ref="L14:M15"/>
    <mergeCell ref="B10:C10"/>
    <mergeCell ref="D10:E10"/>
    <mergeCell ref="F10:G10"/>
    <mergeCell ref="H10:I10"/>
    <mergeCell ref="B11:E11"/>
    <mergeCell ref="F11:I11"/>
    <mergeCell ref="B8:C8"/>
    <mergeCell ref="D8:E8"/>
    <mergeCell ref="F8:G8"/>
    <mergeCell ref="H8:I8"/>
    <mergeCell ref="B9:C9"/>
    <mergeCell ref="D9:E9"/>
    <mergeCell ref="F9:G9"/>
    <mergeCell ref="H9:I9"/>
    <mergeCell ref="B6:C6"/>
    <mergeCell ref="D6:E6"/>
    <mergeCell ref="F6:G6"/>
    <mergeCell ref="H6:I6"/>
    <mergeCell ref="K6:M7"/>
    <mergeCell ref="B7:C7"/>
    <mergeCell ref="D7:E7"/>
    <mergeCell ref="F7:G7"/>
    <mergeCell ref="H7:I7"/>
    <mergeCell ref="B1:I3"/>
    <mergeCell ref="K2:M2"/>
    <mergeCell ref="K3:M4"/>
    <mergeCell ref="B4:I4"/>
    <mergeCell ref="B5:E5"/>
    <mergeCell ref="F5:I5"/>
    <mergeCell ref="K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7D0A-0D40-43CC-B801-F237A8DCED83}">
  <dimension ref="B1:C11"/>
  <sheetViews>
    <sheetView workbookViewId="0">
      <selection activeCell="B7" sqref="B7"/>
    </sheetView>
  </sheetViews>
  <sheetFormatPr defaultRowHeight="15" x14ac:dyDescent="0.25"/>
  <cols>
    <col min="2" max="2" width="18.42578125" customWidth="1"/>
    <col min="3" max="3" width="9.140625" hidden="1" customWidth="1"/>
  </cols>
  <sheetData>
    <row r="1" spans="2:3" ht="15.75" thickBot="1" x14ac:dyDescent="0.3"/>
    <row r="2" spans="2:3" ht="15.75" thickBot="1" x14ac:dyDescent="0.3">
      <c r="B2" s="19" t="s">
        <v>39</v>
      </c>
    </row>
    <row r="3" spans="2:3" ht="15.75" thickBot="1" x14ac:dyDescent="0.3">
      <c r="B3" s="20">
        <f>AWC!G29</f>
        <v>161559</v>
      </c>
    </row>
    <row r="5" spans="2:3" ht="15.75" thickBot="1" x14ac:dyDescent="0.3"/>
    <row r="6" spans="2:3" ht="15.75" thickBot="1" x14ac:dyDescent="0.3">
      <c r="B6" s="19" t="s">
        <v>41</v>
      </c>
    </row>
    <row r="7" spans="2:3" ht="15.75" thickBot="1" x14ac:dyDescent="0.3">
      <c r="B7" s="20" cm="1">
        <f t="array" ref="B7:C7">B3*'Charge comparison'!H18:I18</f>
        <v>4846.7699999999995</v>
      </c>
      <c r="C7">
        <v>0</v>
      </c>
    </row>
    <row r="9" spans="2:3" ht="15.75" thickBot="1" x14ac:dyDescent="0.3"/>
    <row r="10" spans="2:3" ht="15.75" thickBot="1" x14ac:dyDescent="0.3">
      <c r="B10" s="19" t="s">
        <v>24</v>
      </c>
    </row>
    <row r="11" spans="2:3" ht="15.75" thickBot="1" x14ac:dyDescent="0.3">
      <c r="B11" s="20" cm="1">
        <f t="array" ref="B11:C11">'Summary of plan charges '!E3*'Charge comparison'!H19:I19</f>
        <v>1615.5900000000001</v>
      </c>
      <c r="C11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14A77CEB4BD94C8AA6F864E0E1E0F0" ma:contentTypeVersion="18" ma:contentTypeDescription="Create a new document." ma:contentTypeScope="" ma:versionID="34c9bc844f93fa874cef005947d8df7f">
  <xsd:schema xmlns:xsd="http://www.w3.org/2001/XMLSchema" xmlns:xs="http://www.w3.org/2001/XMLSchema" xmlns:p="http://schemas.microsoft.com/office/2006/metadata/properties" xmlns:ns2="9406731d-9f5a-4a79-be91-b3c631be9543" xmlns:ns3="6afbcf95-dc46-4c9d-8f85-fba641a1d2ea" targetNamespace="http://schemas.microsoft.com/office/2006/metadata/properties" ma:root="true" ma:fieldsID="bca217c6d2e8a03c014f1493517b33c6" ns2:_="" ns3:_="">
    <xsd:import namespace="9406731d-9f5a-4a79-be91-b3c631be9543"/>
    <xsd:import namespace="6afbcf95-dc46-4c9d-8f85-fba641a1d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6731d-9f5a-4a79-be91-b3c631be9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2afa00-c010-483a-81d7-5ec2d9895e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bcf95-dc46-4c9d-8f85-fba641a1d2e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641ea8e-a4ed-4b4e-98f0-2bab0db2d818}" ma:internalName="TaxCatchAll" ma:showField="CatchAllData" ma:web="6afbcf95-dc46-4c9d-8f85-fba641a1d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06731d-9f5a-4a79-be91-b3c631be9543">
      <Terms xmlns="http://schemas.microsoft.com/office/infopath/2007/PartnerControls"/>
    </lcf76f155ced4ddcb4097134ff3c332f>
    <TaxCatchAll xmlns="6afbcf95-dc46-4c9d-8f85-fba641a1d2ea" xsi:nil="true"/>
  </documentManagement>
</p:properties>
</file>

<file path=customXml/itemProps1.xml><?xml version="1.0" encoding="utf-8"?>
<ds:datastoreItem xmlns:ds="http://schemas.openxmlformats.org/officeDocument/2006/customXml" ds:itemID="{2265B763-D8C8-4D4F-94A9-2588A29EFA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646325-D502-4255-885B-432333884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06731d-9f5a-4a79-be91-b3c631be9543"/>
    <ds:schemaRef ds:uri="6afbcf95-dc46-4c9d-8f85-fba641a1d2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59A669-30FC-401B-A0C6-5326101B8259}">
  <ds:schemaRefs>
    <ds:schemaRef ds:uri="http://schemas.microsoft.com/office/2006/metadata/properties"/>
    <ds:schemaRef ds:uri="http://schemas.microsoft.com/office/infopath/2007/PartnerControls"/>
    <ds:schemaRef ds:uri="9406731d-9f5a-4a79-be91-b3c631be9543"/>
    <ds:schemaRef ds:uri="6afbcf95-dc46-4c9d-8f85-fba641a1d2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AWC</vt:lpstr>
      <vt:lpstr>Summary of plan charges </vt:lpstr>
      <vt:lpstr>Pension Switch charges only</vt:lpstr>
      <vt:lpstr>Charge comparison</vt:lpstr>
      <vt:lpstr>Our Charges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Jenkinson</dc:creator>
  <cp:lastModifiedBy>Kyle Jenkinson</cp:lastModifiedBy>
  <dcterms:created xsi:type="dcterms:W3CDTF">2025-09-29T13:37:26Z</dcterms:created>
  <dcterms:modified xsi:type="dcterms:W3CDTF">2026-07-16T13:26:40Z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0x010100E914A77CEB4BD94C8AA6F864E0E1E0F0</vt:lpwstr>
  </property>
  <property fmtid="{D5CDD505-2E9C-101B-9397-08002B2CF9AE}" pid="3" name="MediaServiceImageTags">
    <vt:lpwstr/>
  </property>
</Properties>
</file>