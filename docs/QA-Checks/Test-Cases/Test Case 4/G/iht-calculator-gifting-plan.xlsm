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defaultThemeVersion="166925"/>
  <mc:AlternateContent xmlns:mc="http://schemas.openxmlformats.org/markup-compatibility/2006">
    <mc:Choice Requires="x15">
      <x15ac:absPath xmlns:x15ac="http://schemas.microsoft.com/office/spreadsheetml/2010/11/ac" url="https://tfasleeds.sharepoint.com/sites/TFASTeam515/Shared Documents/Financial Services/Clients/Stead, Kevin + Angela/Research Documents/Pension Switch 2026/Other/"/>
    </mc:Choice>
  </mc:AlternateContent>
  <xr:revisionPtr revIDLastSave="13" documentId="8_{F15F8FAF-512B-46BC-AF58-5A547FADA7CB}" xr6:coauthVersionLast="47" xr6:coauthVersionMax="47" xr10:uidLastSave="{37C00FA9-7E8B-41A5-88B9-D55130AC70AA}"/>
  <workbookProtection workbookAlgorithmName="SHA-512" workbookHashValue="DOnjrUZeC0uwPE2qXXSiM2/cqW0Srs3+QFPWZXdEzhaUTV0KK5mA906fx2HSins15Uk0ddb2Rt8brHNayLMWOg==" workbookSaltValue="24tbk1jofJC2Xfun8gjcww==" workbookSpinCount="100000" lockStructure="1"/>
  <bookViews>
    <workbookView showSheetTabs="0" xWindow="-28920" yWindow="-120" windowWidth="29040" windowHeight="15720" activeTab="4" xr2:uid="{9F620C3F-6840-4585-8746-820455C89F2B}"/>
  </bookViews>
  <sheets>
    <sheet name="Estate overview" sheetId="1" r:id="rId1"/>
    <sheet name="Gifting details" sheetId="3" r:id="rId2"/>
    <sheet name="Results" sheetId="4" r:id="rId3"/>
    <sheet name="Data sheet" sheetId="2" state="hidden" r:id="rId4"/>
    <sheet name="Current IHT calc" sheetId="5" r:id="rId5"/>
    <sheet name="DoD IHT calc" sheetId="8" r:id="rId6"/>
    <sheet name="DoD post gifting calc" sheetId="10" r:id="rId7"/>
    <sheet name="Control sheet" sheetId="11" state="hidden" r:id="rId8"/>
  </sheets>
  <definedNames>
    <definedName name="Current_NRB">'Data sheet'!$A$6</definedName>
    <definedName name="Current_RNRB">'Data sheet'!$A$4</definedName>
    <definedName name="IHTrate">'Data sheet'!$A$10</definedName>
    <definedName name="Liferate">'Data sheet'!$A$12</definedName>
    <definedName name="_xlnm.Print_Area" localSheetId="4">'Current IHT calc'!$A$1:$K$41</definedName>
    <definedName name="RNRB_toggle">'Data sheet'!$A$1:$A$2</definedName>
    <definedName name="Taper_limit">'Data sheet'!$A$8</definedName>
    <definedName name="Type_of_gift">'Data sheet'!$A$13:$A$14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4" i="3" l="1" a="1"/>
  <c r="H34" i="3" s="1"/>
  <c r="C34" i="3" a="1"/>
  <c r="C34" i="3" s="1"/>
  <c r="AF24" i="2" l="1"/>
  <c r="X24" i="2"/>
  <c r="B30" i="10"/>
  <c r="B29" i="10"/>
  <c r="B28" i="10"/>
  <c r="B27" i="10"/>
  <c r="B20" i="10"/>
  <c r="B19" i="10"/>
  <c r="B18" i="10"/>
  <c r="B17" i="10"/>
  <c r="B16" i="10"/>
  <c r="B15" i="10"/>
  <c r="B14" i="10"/>
  <c r="B13" i="10"/>
  <c r="B12" i="10"/>
  <c r="G11" i="10"/>
  <c r="B11" i="10"/>
  <c r="G8" i="10"/>
  <c r="C8" i="10"/>
  <c r="D7" i="10"/>
  <c r="E7" i="10" s="1"/>
  <c r="G8" i="8"/>
  <c r="C8" i="8"/>
  <c r="C8" i="5"/>
  <c r="B30" i="8"/>
  <c r="B29" i="8"/>
  <c r="B28" i="8"/>
  <c r="B27" i="8"/>
  <c r="B20" i="8"/>
  <c r="B19" i="8"/>
  <c r="B18" i="8"/>
  <c r="B17" i="8"/>
  <c r="B16" i="8"/>
  <c r="B15" i="8"/>
  <c r="B14" i="8"/>
  <c r="B13" i="8"/>
  <c r="B12" i="8"/>
  <c r="G11" i="8"/>
  <c r="B11" i="8"/>
  <c r="D7" i="8"/>
  <c r="E7" i="8" s="1"/>
  <c r="B30" i="5"/>
  <c r="B29" i="5"/>
  <c r="B28" i="5"/>
  <c r="B27" i="5"/>
  <c r="B20" i="5"/>
  <c r="B19" i="5"/>
  <c r="B18" i="5"/>
  <c r="B17" i="5"/>
  <c r="B16" i="5"/>
  <c r="B15" i="5"/>
  <c r="B14" i="5"/>
  <c r="B13" i="5"/>
  <c r="B12" i="5"/>
  <c r="G11" i="5"/>
  <c r="B11" i="5"/>
  <c r="D7" i="5"/>
  <c r="E7" i="5" s="1"/>
  <c r="AF16" i="3"/>
  <c r="AF17" i="3"/>
  <c r="AF18" i="3"/>
  <c r="AF19" i="3"/>
  <c r="AF20" i="3"/>
  <c r="AF21" i="3"/>
  <c r="AF22" i="3"/>
  <c r="AF23" i="3"/>
  <c r="AF24" i="3"/>
  <c r="AF25" i="3"/>
  <c r="AF26" i="3"/>
  <c r="AF27" i="3"/>
  <c r="AF28" i="3"/>
  <c r="AF29" i="3"/>
  <c r="AF30" i="3"/>
  <c r="AF31" i="3"/>
  <c r="X31" i="3"/>
  <c r="AD24" i="3"/>
  <c r="AD26" i="3"/>
  <c r="Z13" i="3"/>
  <c r="AD13" i="3" s="1"/>
  <c r="AA13" i="3"/>
  <c r="AB13" i="3"/>
  <c r="Z14" i="3"/>
  <c r="AD14" i="3" s="1"/>
  <c r="AA14" i="3"/>
  <c r="AB14" i="3"/>
  <c r="Z15" i="3"/>
  <c r="AD15" i="3" s="1"/>
  <c r="AA15" i="3"/>
  <c r="AB15" i="3"/>
  <c r="Z16" i="3"/>
  <c r="AD16" i="3" s="1"/>
  <c r="AA16" i="3"/>
  <c r="AB16" i="3"/>
  <c r="Z17" i="3"/>
  <c r="AD17" i="3" s="1"/>
  <c r="AA17" i="3"/>
  <c r="AB17" i="3"/>
  <c r="Z18" i="3"/>
  <c r="AD18" i="3" s="1"/>
  <c r="AA18" i="3"/>
  <c r="AB18" i="3"/>
  <c r="Z19" i="3"/>
  <c r="AD19" i="3" s="1"/>
  <c r="AA19" i="3"/>
  <c r="AB19" i="3"/>
  <c r="Z20" i="3"/>
  <c r="AD20" i="3" s="1"/>
  <c r="AA20" i="3"/>
  <c r="AB20" i="3"/>
  <c r="Z21" i="3"/>
  <c r="AD21" i="3" s="1"/>
  <c r="AA21" i="3"/>
  <c r="AB21" i="3"/>
  <c r="Z22" i="3"/>
  <c r="AD22" i="3" s="1"/>
  <c r="AA22" i="3"/>
  <c r="AB22" i="3"/>
  <c r="Z23" i="3"/>
  <c r="AD23" i="3" s="1"/>
  <c r="AA23" i="3"/>
  <c r="AB23" i="3"/>
  <c r="Z24" i="3"/>
  <c r="AA24" i="3"/>
  <c r="AB24" i="3"/>
  <c r="Z25" i="3"/>
  <c r="AD25" i="3" s="1"/>
  <c r="AA25" i="3"/>
  <c r="AB25" i="3"/>
  <c r="Z26" i="3"/>
  <c r="AA26" i="3"/>
  <c r="AB26" i="3"/>
  <c r="Z27" i="3"/>
  <c r="AD27" i="3" s="1"/>
  <c r="AA27" i="3"/>
  <c r="AB27" i="3"/>
  <c r="Z28" i="3"/>
  <c r="AD28" i="3" s="1"/>
  <c r="AA28" i="3"/>
  <c r="AB28" i="3"/>
  <c r="Z29" i="3"/>
  <c r="AD29" i="3" s="1"/>
  <c r="AA29" i="3"/>
  <c r="AB29" i="3"/>
  <c r="Z30" i="3"/>
  <c r="AD30" i="3" s="1"/>
  <c r="AA30" i="3"/>
  <c r="AB30" i="3"/>
  <c r="Z31" i="3"/>
  <c r="AD31" i="3" s="1"/>
  <c r="AA31" i="3"/>
  <c r="AB31" i="3"/>
  <c r="AC13" i="3"/>
  <c r="AC14" i="3"/>
  <c r="AC15" i="3"/>
  <c r="AC16" i="3"/>
  <c r="AC17" i="3"/>
  <c r="AC18" i="3"/>
  <c r="AC19" i="3"/>
  <c r="AC20" i="3"/>
  <c r="AC21" i="3"/>
  <c r="AC22" i="3"/>
  <c r="AC23" i="3"/>
  <c r="AC24" i="3"/>
  <c r="AC25" i="3"/>
  <c r="AC26" i="3"/>
  <c r="AC27" i="3"/>
  <c r="AC28" i="3"/>
  <c r="AC29" i="3"/>
  <c r="AC30" i="3"/>
  <c r="AC31" i="3"/>
  <c r="AC12" i="3"/>
  <c r="U13" i="3"/>
  <c r="U14" i="3"/>
  <c r="U15" i="3"/>
  <c r="U16" i="3"/>
  <c r="U17" i="3"/>
  <c r="U18" i="3"/>
  <c r="U19" i="3"/>
  <c r="U20" i="3"/>
  <c r="U21" i="3"/>
  <c r="U22" i="3"/>
  <c r="U23" i="3"/>
  <c r="U24" i="3"/>
  <c r="U25" i="3"/>
  <c r="U26" i="3"/>
  <c r="U27" i="3"/>
  <c r="U28" i="3"/>
  <c r="U29" i="3"/>
  <c r="U30" i="3"/>
  <c r="U31" i="3"/>
  <c r="U12" i="3"/>
  <c r="AB12" i="3"/>
  <c r="AA12" i="3"/>
  <c r="Z12" i="3"/>
  <c r="AD12" i="3" s="1"/>
  <c r="S13" i="3"/>
  <c r="S14" i="3"/>
  <c r="S15" i="3"/>
  <c r="S16" i="3"/>
  <c r="S17" i="3"/>
  <c r="S18" i="3"/>
  <c r="S19" i="3"/>
  <c r="S20" i="3"/>
  <c r="S21" i="3"/>
  <c r="S22" i="3"/>
  <c r="S23" i="3"/>
  <c r="S24" i="3"/>
  <c r="S25" i="3"/>
  <c r="S26" i="3"/>
  <c r="S27" i="3"/>
  <c r="S28" i="3"/>
  <c r="S29" i="3"/>
  <c r="S30" i="3"/>
  <c r="S31" i="3"/>
  <c r="S12" i="3"/>
  <c r="R13" i="3"/>
  <c r="R14" i="3"/>
  <c r="R15" i="3"/>
  <c r="R16" i="3"/>
  <c r="X16" i="3" s="1"/>
  <c r="R17" i="3"/>
  <c r="X17" i="3" s="1"/>
  <c r="R18" i="3"/>
  <c r="X18" i="3" s="1"/>
  <c r="R19" i="3"/>
  <c r="X19" i="3" s="1"/>
  <c r="R20" i="3"/>
  <c r="R21" i="3"/>
  <c r="X21" i="3" s="1"/>
  <c r="R22" i="3"/>
  <c r="X22" i="3" s="1"/>
  <c r="R23" i="3"/>
  <c r="X23" i="3" s="1"/>
  <c r="R24" i="3"/>
  <c r="X24" i="3" s="1"/>
  <c r="R25" i="3"/>
  <c r="X25" i="3" s="1"/>
  <c r="R26" i="3"/>
  <c r="R27" i="3"/>
  <c r="X27" i="3" s="1"/>
  <c r="R28" i="3"/>
  <c r="X28" i="3" s="1"/>
  <c r="R29" i="3"/>
  <c r="R30" i="3"/>
  <c r="X30" i="3" s="1"/>
  <c r="R31" i="3"/>
  <c r="R12" i="3"/>
  <c r="Q13" i="3"/>
  <c r="V13" i="3" s="1"/>
  <c r="Q14" i="3"/>
  <c r="Q15" i="3"/>
  <c r="V15" i="3" s="1"/>
  <c r="Q16" i="3"/>
  <c r="V16" i="3" s="1"/>
  <c r="Q17" i="3"/>
  <c r="V17" i="3" s="1"/>
  <c r="Q18" i="3"/>
  <c r="V18" i="3" s="1"/>
  <c r="Q19" i="3"/>
  <c r="V19" i="3" s="1"/>
  <c r="Q20" i="3"/>
  <c r="Q21" i="3"/>
  <c r="Q22" i="3"/>
  <c r="Q23" i="3"/>
  <c r="V23" i="3" s="1"/>
  <c r="Q24" i="3"/>
  <c r="V24" i="3" s="1"/>
  <c r="Q25" i="3"/>
  <c r="V25" i="3" s="1"/>
  <c r="Q26" i="3"/>
  <c r="V26" i="3" s="1"/>
  <c r="Q27" i="3"/>
  <c r="V27" i="3" s="1"/>
  <c r="Q28" i="3"/>
  <c r="Q29" i="3"/>
  <c r="Q30" i="3"/>
  <c r="Q31" i="3"/>
  <c r="V31" i="3" s="1"/>
  <c r="Q12" i="3"/>
  <c r="V12" i="3" s="1"/>
  <c r="AA39" i="2"/>
  <c r="AA40" i="2"/>
  <c r="AA41" i="2"/>
  <c r="AA42" i="2"/>
  <c r="AA43" i="2"/>
  <c r="AA44" i="2"/>
  <c r="AA45" i="2"/>
  <c r="AA46" i="2"/>
  <c r="AA47" i="2"/>
  <c r="AA48" i="2"/>
  <c r="AA49" i="2"/>
  <c r="AA50" i="2"/>
  <c r="AA51" i="2"/>
  <c r="AA52" i="2"/>
  <c r="AA53" i="2"/>
  <c r="AA54" i="2"/>
  <c r="AA55" i="2"/>
  <c r="S55" i="2"/>
  <c r="K55" i="2"/>
  <c r="F19" i="4"/>
  <c r="F20" i="4"/>
  <c r="F21" i="4"/>
  <c r="F22" i="4"/>
  <c r="F23" i="4"/>
  <c r="F24" i="4"/>
  <c r="F25" i="4"/>
  <c r="F26" i="4"/>
  <c r="F27" i="4"/>
  <c r="F28" i="4"/>
  <c r="F29" i="4"/>
  <c r="F30" i="4"/>
  <c r="F31" i="4"/>
  <c r="F32" i="4"/>
  <c r="F33" i="4"/>
  <c r="F34" i="4"/>
  <c r="F35" i="4"/>
  <c r="F36" i="4"/>
  <c r="E18" i="4"/>
  <c r="E19" i="4"/>
  <c r="E20" i="4"/>
  <c r="E21" i="4"/>
  <c r="E22" i="4"/>
  <c r="E23" i="4"/>
  <c r="E24" i="4"/>
  <c r="E25" i="4"/>
  <c r="E26" i="4"/>
  <c r="E27" i="4"/>
  <c r="E28" i="4"/>
  <c r="E29" i="4"/>
  <c r="E30" i="4"/>
  <c r="E31" i="4"/>
  <c r="E32" i="4"/>
  <c r="E33" i="4"/>
  <c r="E34" i="4"/>
  <c r="E35" i="4"/>
  <c r="E36" i="4"/>
  <c r="C19" i="4"/>
  <c r="C20" i="4"/>
  <c r="C21" i="4"/>
  <c r="C22" i="4"/>
  <c r="C23" i="4"/>
  <c r="C24" i="4"/>
  <c r="C25" i="4"/>
  <c r="C26" i="4"/>
  <c r="C27" i="4"/>
  <c r="C28" i="4"/>
  <c r="C29" i="4"/>
  <c r="C30" i="4"/>
  <c r="C31" i="4"/>
  <c r="C32" i="4"/>
  <c r="C33" i="4"/>
  <c r="C34" i="4"/>
  <c r="C35" i="4"/>
  <c r="C36" i="4"/>
  <c r="D18" i="4"/>
  <c r="D19" i="4"/>
  <c r="D20" i="4"/>
  <c r="D21" i="4"/>
  <c r="D22" i="4"/>
  <c r="D23" i="4"/>
  <c r="D24" i="4"/>
  <c r="D25" i="4"/>
  <c r="D26" i="4"/>
  <c r="D27" i="4"/>
  <c r="D28" i="4"/>
  <c r="D29" i="4"/>
  <c r="D30" i="4"/>
  <c r="D31" i="4"/>
  <c r="D32" i="4"/>
  <c r="D33" i="4"/>
  <c r="D34" i="4"/>
  <c r="D35" i="4"/>
  <c r="D36" i="4"/>
  <c r="W25" i="3" l="1"/>
  <c r="W17" i="3"/>
  <c r="AE31" i="3"/>
  <c r="W23" i="3"/>
  <c r="AE21" i="3"/>
  <c r="AE20" i="3"/>
  <c r="AE27" i="3"/>
  <c r="W15" i="3"/>
  <c r="X15" i="3" s="1"/>
  <c r="AE12" i="3"/>
  <c r="AF12" i="3" s="1"/>
  <c r="W27" i="3"/>
  <c r="W26" i="3"/>
  <c r="X26" i="3" s="1"/>
  <c r="W18" i="3"/>
  <c r="AE13" i="3"/>
  <c r="AF13" i="3" s="1"/>
  <c r="AE18" i="3"/>
  <c r="AE17" i="3"/>
  <c r="W31" i="3"/>
  <c r="AE16" i="3"/>
  <c r="AE29" i="3"/>
  <c r="AE26" i="3"/>
  <c r="AE19" i="3"/>
  <c r="AE22" i="3"/>
  <c r="AE15" i="3"/>
  <c r="AF15" i="3" s="1"/>
  <c r="AE28" i="3"/>
  <c r="AE25" i="3"/>
  <c r="AE24" i="3"/>
  <c r="AE14" i="3"/>
  <c r="AF14" i="3" s="1"/>
  <c r="AE30" i="3"/>
  <c r="AE23" i="3"/>
  <c r="V22" i="3"/>
  <c r="W22" i="3" s="1"/>
  <c r="W13" i="3"/>
  <c r="X13" i="3" s="1"/>
  <c r="V29" i="3"/>
  <c r="W29" i="3" s="1"/>
  <c r="X29" i="3" s="1"/>
  <c r="V21" i="3"/>
  <c r="W21" i="3" s="1"/>
  <c r="V28" i="3"/>
  <c r="W28" i="3" s="1"/>
  <c r="V20" i="3"/>
  <c r="W20" i="3" s="1"/>
  <c r="X20" i="3" s="1"/>
  <c r="W12" i="3"/>
  <c r="X12" i="3" s="1"/>
  <c r="W24" i="3"/>
  <c r="W16" i="3"/>
  <c r="W19" i="3"/>
  <c r="V30" i="3"/>
  <c r="W30" i="3" s="1"/>
  <c r="V14" i="3"/>
  <c r="W14" i="3" s="1"/>
  <c r="X14" i="3" s="1"/>
  <c r="P13" i="2"/>
  <c r="P14" i="2"/>
  <c r="P12" i="2"/>
  <c r="P3" i="2"/>
  <c r="P4" i="2"/>
  <c r="P5" i="2"/>
  <c r="P6" i="2"/>
  <c r="P7" i="2"/>
  <c r="P8" i="2"/>
  <c r="P9" i="2"/>
  <c r="P2" i="2"/>
  <c r="P24" i="2"/>
  <c r="P21" i="2"/>
  <c r="P17" i="2"/>
  <c r="Z37" i="2"/>
  <c r="AE37" i="2" s="1"/>
  <c r="AB37" i="2"/>
  <c r="Z38" i="2"/>
  <c r="AB38" i="2"/>
  <c r="Z39" i="2"/>
  <c r="AE39" i="2" s="1"/>
  <c r="AB39" i="2"/>
  <c r="Z40" i="2"/>
  <c r="AE40" i="2" s="1"/>
  <c r="AB40" i="2"/>
  <c r="Z41" i="2"/>
  <c r="AE41" i="2" s="1"/>
  <c r="AB41" i="2"/>
  <c r="Z42" i="2"/>
  <c r="AE42" i="2" s="1"/>
  <c r="AB42" i="2"/>
  <c r="Z43" i="2"/>
  <c r="AE43" i="2" s="1"/>
  <c r="AB43" i="2"/>
  <c r="Z44" i="2"/>
  <c r="AE44" i="2" s="1"/>
  <c r="AB44" i="2"/>
  <c r="Z45" i="2"/>
  <c r="AE45" i="2" s="1"/>
  <c r="AB45" i="2"/>
  <c r="Z46" i="2"/>
  <c r="AE46" i="2" s="1"/>
  <c r="AB46" i="2"/>
  <c r="Z47" i="2"/>
  <c r="AE47" i="2" s="1"/>
  <c r="AB47" i="2"/>
  <c r="Z48" i="2"/>
  <c r="AE48" i="2" s="1"/>
  <c r="AB48" i="2"/>
  <c r="Z49" i="2"/>
  <c r="AE49" i="2" s="1"/>
  <c r="AB49" i="2"/>
  <c r="Z50" i="2"/>
  <c r="AE50" i="2" s="1"/>
  <c r="AB50" i="2"/>
  <c r="Z51" i="2"/>
  <c r="AE51" i="2" s="1"/>
  <c r="AB51" i="2"/>
  <c r="Z52" i="2"/>
  <c r="AE52" i="2" s="1"/>
  <c r="AB52" i="2"/>
  <c r="Z53" i="2"/>
  <c r="AE53" i="2" s="1"/>
  <c r="AB53" i="2"/>
  <c r="Z54" i="2"/>
  <c r="AE54" i="2" s="1"/>
  <c r="AB54" i="2"/>
  <c r="Z55" i="2"/>
  <c r="AE55" i="2" s="1"/>
  <c r="AB55" i="2"/>
  <c r="AB36" i="2"/>
  <c r="Z36" i="2"/>
  <c r="S56" i="2"/>
  <c r="T37" i="2"/>
  <c r="T38" i="2"/>
  <c r="T39" i="2"/>
  <c r="T40" i="2"/>
  <c r="T41" i="2"/>
  <c r="T42" i="2"/>
  <c r="T43" i="2"/>
  <c r="T44" i="2"/>
  <c r="T45" i="2"/>
  <c r="T46" i="2"/>
  <c r="T47" i="2"/>
  <c r="T48" i="2"/>
  <c r="T49" i="2"/>
  <c r="T50" i="2"/>
  <c r="T51" i="2"/>
  <c r="T52" i="2"/>
  <c r="T53" i="2"/>
  <c r="T54" i="2"/>
  <c r="T55" i="2"/>
  <c r="T36" i="2"/>
  <c r="R37" i="2"/>
  <c r="W37" i="2" s="1"/>
  <c r="R38" i="2"/>
  <c r="R39" i="2"/>
  <c r="R40" i="2"/>
  <c r="R41" i="2"/>
  <c r="W41" i="2" s="1"/>
  <c r="R42" i="2"/>
  <c r="R43" i="2"/>
  <c r="R44" i="2"/>
  <c r="W44" i="2" s="1"/>
  <c r="R45" i="2"/>
  <c r="W45" i="2" s="1"/>
  <c r="R46" i="2"/>
  <c r="W46" i="2" s="1"/>
  <c r="R47" i="2"/>
  <c r="R48" i="2"/>
  <c r="W48" i="2" s="1"/>
  <c r="R49" i="2"/>
  <c r="W49" i="2" s="1"/>
  <c r="R50" i="2"/>
  <c r="R51" i="2"/>
  <c r="R52" i="2"/>
  <c r="W52" i="2" s="1"/>
  <c r="R53" i="2"/>
  <c r="W53" i="2" s="1"/>
  <c r="R54" i="2"/>
  <c r="R55" i="2"/>
  <c r="W55" i="2" s="1"/>
  <c r="R36" i="2"/>
  <c r="X20" i="2" a="1"/>
  <c r="X20" i="2" s="1"/>
  <c r="J37" i="2"/>
  <c r="O37" i="2" s="1"/>
  <c r="L37" i="2"/>
  <c r="J38" i="2"/>
  <c r="L38" i="2"/>
  <c r="J39" i="2"/>
  <c r="L39" i="2"/>
  <c r="J40" i="2"/>
  <c r="L40" i="2"/>
  <c r="J41" i="2"/>
  <c r="O41" i="2" s="1"/>
  <c r="L41" i="2"/>
  <c r="J42" i="2"/>
  <c r="L42" i="2"/>
  <c r="J43" i="2"/>
  <c r="O43" i="2" s="1"/>
  <c r="L43" i="2"/>
  <c r="J44" i="2"/>
  <c r="O44" i="2" s="1"/>
  <c r="L44" i="2"/>
  <c r="J45" i="2"/>
  <c r="O45" i="2" s="1"/>
  <c r="L45" i="2"/>
  <c r="J46" i="2"/>
  <c r="L46" i="2"/>
  <c r="J47" i="2"/>
  <c r="L47" i="2"/>
  <c r="J48" i="2"/>
  <c r="L48" i="2"/>
  <c r="J49" i="2"/>
  <c r="O49" i="2" s="1"/>
  <c r="L49" i="2"/>
  <c r="J50" i="2"/>
  <c r="L50" i="2"/>
  <c r="J51" i="2"/>
  <c r="O51" i="2" s="1"/>
  <c r="L51" i="2"/>
  <c r="J52" i="2"/>
  <c r="O52" i="2" s="1"/>
  <c r="L52" i="2"/>
  <c r="J53" i="2"/>
  <c r="O53" i="2" s="1"/>
  <c r="L53" i="2"/>
  <c r="J54" i="2"/>
  <c r="L54" i="2"/>
  <c r="J55" i="2"/>
  <c r="L55" i="2"/>
  <c r="L36" i="2"/>
  <c r="J36" i="2"/>
  <c r="K56" i="2"/>
  <c r="J21" i="1"/>
  <c r="AF20" i="2" a="1"/>
  <c r="AF20" i="2" s="1"/>
  <c r="F31" i="3"/>
  <c r="T31" i="3" s="1"/>
  <c r="AF21" i="2"/>
  <c r="AF17" i="2"/>
  <c r="X17" i="2"/>
  <c r="AF13" i="2"/>
  <c r="AF14" i="2"/>
  <c r="AF12" i="2"/>
  <c r="AF3" i="2"/>
  <c r="AF4" i="2"/>
  <c r="AF5" i="2"/>
  <c r="AF6" i="2"/>
  <c r="AF7" i="2"/>
  <c r="AF8" i="2"/>
  <c r="AF9" i="2"/>
  <c r="AF2" i="2"/>
  <c r="X21" i="2"/>
  <c r="M13" i="3"/>
  <c r="AC37" i="2" s="1"/>
  <c r="AA37" i="2" s="1"/>
  <c r="M14" i="3"/>
  <c r="AC38" i="2" s="1"/>
  <c r="AA38" i="2" s="1"/>
  <c r="M15" i="3"/>
  <c r="AC39" i="2" s="1"/>
  <c r="M16" i="3"/>
  <c r="AC40" i="2" s="1"/>
  <c r="AG40" i="2" s="1"/>
  <c r="M17" i="3"/>
  <c r="AC41" i="2" s="1"/>
  <c r="M18" i="3"/>
  <c r="AC42" i="2" s="1"/>
  <c r="AG42" i="2" s="1"/>
  <c r="M19" i="3"/>
  <c r="AC43" i="2" s="1"/>
  <c r="AG43" i="2" s="1"/>
  <c r="M20" i="3"/>
  <c r="AC44" i="2" s="1"/>
  <c r="AG44" i="2" s="1"/>
  <c r="M21" i="3"/>
  <c r="AC45" i="2" s="1"/>
  <c r="AG45" i="2" s="1"/>
  <c r="M22" i="3"/>
  <c r="AC46" i="2" s="1"/>
  <c r="AG46" i="2" s="1"/>
  <c r="M23" i="3"/>
  <c r="AC47" i="2" s="1"/>
  <c r="AD47" i="2" s="1" a="1"/>
  <c r="AD47" i="2" s="1"/>
  <c r="M24" i="3"/>
  <c r="AC48" i="2" s="1"/>
  <c r="AG48" i="2" s="1"/>
  <c r="M25" i="3"/>
  <c r="AC49" i="2" s="1"/>
  <c r="AG49" i="2" s="1"/>
  <c r="M26" i="3"/>
  <c r="AC50" i="2" s="1"/>
  <c r="AD50" i="2" s="1" a="1"/>
  <c r="AD50" i="2" s="1"/>
  <c r="M27" i="3"/>
  <c r="AC51" i="2" s="1"/>
  <c r="AG51" i="2" s="1"/>
  <c r="M28" i="3"/>
  <c r="AC52" i="2" s="1"/>
  <c r="AG52" i="2" s="1"/>
  <c r="M29" i="3"/>
  <c r="AC53" i="2" s="1"/>
  <c r="AG53" i="2" s="1"/>
  <c r="M30" i="3"/>
  <c r="AC54" i="2" s="1"/>
  <c r="AG54" i="2" s="1"/>
  <c r="M31" i="3"/>
  <c r="AC55" i="2" s="1"/>
  <c r="AG55" i="2" s="1"/>
  <c r="M12" i="3"/>
  <c r="B13" i="3"/>
  <c r="U37" i="2" s="1"/>
  <c r="B14" i="3"/>
  <c r="U38" i="2" s="1"/>
  <c r="S38" i="2" s="1"/>
  <c r="B15" i="3"/>
  <c r="U39" i="2" s="1"/>
  <c r="B16" i="3"/>
  <c r="U40" i="2" s="1"/>
  <c r="B17" i="3"/>
  <c r="U41" i="2" s="1"/>
  <c r="B18" i="3"/>
  <c r="U42" i="2" s="1"/>
  <c r="B19" i="3"/>
  <c r="U43" i="2" s="1"/>
  <c r="B20" i="3"/>
  <c r="U44" i="2" s="1"/>
  <c r="B21" i="3"/>
  <c r="U45" i="2" s="1"/>
  <c r="B22" i="3"/>
  <c r="U46" i="2" s="1"/>
  <c r="B23" i="3"/>
  <c r="U47" i="2" s="1"/>
  <c r="B24" i="3"/>
  <c r="U48" i="2" s="1"/>
  <c r="B25" i="3"/>
  <c r="U49" i="2" s="1"/>
  <c r="B26" i="3"/>
  <c r="U50" i="2" s="1"/>
  <c r="B27" i="3"/>
  <c r="U51" i="2" s="1"/>
  <c r="B28" i="3"/>
  <c r="U52" i="2" s="1"/>
  <c r="B29" i="3"/>
  <c r="U53" i="2" s="1"/>
  <c r="B30" i="3"/>
  <c r="U54" i="2" s="1"/>
  <c r="B31" i="3"/>
  <c r="U55" i="2" s="1"/>
  <c r="Y55" i="2" s="1"/>
  <c r="B12" i="3"/>
  <c r="U36" i="2" s="1"/>
  <c r="H24" i="2"/>
  <c r="H25" i="2" s="1"/>
  <c r="H26" i="2" s="1"/>
  <c r="H27" i="2" s="1"/>
  <c r="H28" i="2" s="1"/>
  <c r="H29" i="2" s="1"/>
  <c r="H30" i="2" s="1"/>
  <c r="H31" i="2" s="1"/>
  <c r="H32" i="2" s="1"/>
  <c r="H33" i="2" s="1"/>
  <c r="H34" i="2" s="1"/>
  <c r="H35" i="2" s="1"/>
  <c r="H36" i="2" s="1"/>
  <c r="H37" i="2" s="1"/>
  <c r="H38" i="2" s="1"/>
  <c r="H39" i="2" s="1"/>
  <c r="H40" i="2" s="1"/>
  <c r="H41" i="2" s="1"/>
  <c r="H42" i="2" s="1"/>
  <c r="H43" i="2" s="1"/>
  <c r="H44" i="2" s="1"/>
  <c r="H45" i="2" s="1"/>
  <c r="H46" i="2" s="1"/>
  <c r="H47" i="2" s="1"/>
  <c r="H48" i="2" s="1"/>
  <c r="H49" i="2" s="1"/>
  <c r="H50" i="2" s="1"/>
  <c r="H51" i="2" s="1"/>
  <c r="H52" i="2" s="1"/>
  <c r="H53" i="2" s="1"/>
  <c r="H54" i="2" s="1"/>
  <c r="H55" i="2" s="1"/>
  <c r="H56" i="2" s="1"/>
  <c r="H57" i="2" s="1"/>
  <c r="H58" i="2" s="1"/>
  <c r="H59" i="2" s="1"/>
  <c r="H60" i="2" s="1"/>
  <c r="H61" i="2" s="1"/>
  <c r="H62" i="2" s="1"/>
  <c r="H63" i="2" s="1"/>
  <c r="H64" i="2" s="1"/>
  <c r="H65" i="2" s="1"/>
  <c r="H66" i="2" s="1"/>
  <c r="H67" i="2" s="1"/>
  <c r="H68" i="2" s="1"/>
  <c r="H69" i="2" s="1"/>
  <c r="H70" i="2" s="1"/>
  <c r="H71" i="2" s="1"/>
  <c r="H72" i="2" s="1"/>
  <c r="H73" i="2" s="1"/>
  <c r="H74" i="2" s="1"/>
  <c r="H75" i="2" s="1"/>
  <c r="H76" i="2" s="1"/>
  <c r="H77" i="2" s="1"/>
  <c r="H78" i="2" s="1"/>
  <c r="H79" i="2" s="1"/>
  <c r="H80" i="2" s="1"/>
  <c r="H81" i="2" s="1"/>
  <c r="H82" i="2" s="1"/>
  <c r="H83" i="2" s="1"/>
  <c r="H84" i="2" s="1"/>
  <c r="H85" i="2" s="1"/>
  <c r="H86" i="2" s="1"/>
  <c r="H87" i="2" s="1"/>
  <c r="H88" i="2" s="1"/>
  <c r="H89" i="2" s="1"/>
  <c r="H90" i="2" s="1"/>
  <c r="H91" i="2" s="1"/>
  <c r="H92" i="2" s="1"/>
  <c r="H93" i="2" s="1"/>
  <c r="C43" i="2"/>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X13" i="2"/>
  <c r="X14" i="2"/>
  <c r="X12" i="2"/>
  <c r="X3" i="2"/>
  <c r="X4" i="2"/>
  <c r="X5" i="2"/>
  <c r="X6" i="2"/>
  <c r="X7" i="2"/>
  <c r="X8" i="2"/>
  <c r="X9" i="2"/>
  <c r="X2" i="2"/>
  <c r="D8" i="3"/>
  <c r="F12" i="3" s="1"/>
  <c r="J32" i="3"/>
  <c r="E32" i="3"/>
  <c r="L56" i="2" s="1"/>
  <c r="F18" i="4"/>
  <c r="F17" i="4"/>
  <c r="E17" i="4"/>
  <c r="D17" i="4"/>
  <c r="C18" i="4"/>
  <c r="C17" i="4"/>
  <c r="H33" i="3" l="1"/>
  <c r="M55" i="2"/>
  <c r="AF46" i="2"/>
  <c r="AF54" i="2"/>
  <c r="AF39" i="2"/>
  <c r="AF47" i="2"/>
  <c r="AF55" i="2"/>
  <c r="AF52" i="2"/>
  <c r="AF45" i="2"/>
  <c r="AF40" i="2"/>
  <c r="AF48" i="2"/>
  <c r="AF43" i="2"/>
  <c r="AF41" i="2"/>
  <c r="AF49" i="2"/>
  <c r="AF44" i="2"/>
  <c r="AF53" i="2"/>
  <c r="AF42" i="2"/>
  <c r="AF50" i="2"/>
  <c r="AF51" i="2"/>
  <c r="AE38" i="2"/>
  <c r="S54" i="2"/>
  <c r="S53" i="2"/>
  <c r="S45" i="2"/>
  <c r="F27" i="3"/>
  <c r="G27" i="3" s="1"/>
  <c r="F18" i="3"/>
  <c r="S44" i="2"/>
  <c r="S51" i="2"/>
  <c r="F25" i="3"/>
  <c r="T25" i="3" s="1"/>
  <c r="S50" i="2"/>
  <c r="S42" i="2"/>
  <c r="F24" i="3"/>
  <c r="T24" i="3" s="1"/>
  <c r="S52" i="2"/>
  <c r="F26" i="3"/>
  <c r="F17" i="3"/>
  <c r="M41" i="2" s="1"/>
  <c r="S41" i="2"/>
  <c r="F20" i="3"/>
  <c r="T20" i="3" s="1"/>
  <c r="S49" i="2"/>
  <c r="F23" i="3"/>
  <c r="G23" i="3" s="1"/>
  <c r="S48" i="2"/>
  <c r="S40" i="2"/>
  <c r="F30" i="3"/>
  <c r="F22" i="3"/>
  <c r="S46" i="2"/>
  <c r="F28" i="3"/>
  <c r="T28" i="3" s="1"/>
  <c r="S43" i="2"/>
  <c r="S47" i="2"/>
  <c r="S39" i="2"/>
  <c r="F29" i="3"/>
  <c r="T29" i="3" s="1"/>
  <c r="F21" i="3"/>
  <c r="T21" i="3" s="1"/>
  <c r="F12" i="8"/>
  <c r="F12" i="10"/>
  <c r="AD43" i="2" a="1"/>
  <c r="AD43" i="2" s="1"/>
  <c r="AG50" i="2"/>
  <c r="AG41" i="2"/>
  <c r="AD42" i="2" a="1"/>
  <c r="AD42" i="2" s="1"/>
  <c r="AG39" i="2"/>
  <c r="AG47" i="2"/>
  <c r="AD55" i="2" a="1"/>
  <c r="AD55" i="2" s="1"/>
  <c r="AD53" i="2" a="1"/>
  <c r="AD53" i="2" s="1"/>
  <c r="F10" i="8"/>
  <c r="AF27" i="2"/>
  <c r="F10" i="10"/>
  <c r="F10" i="5"/>
  <c r="S37" i="2"/>
  <c r="AD44" i="2" a="1"/>
  <c r="AD44" i="2" s="1"/>
  <c r="W38" i="2"/>
  <c r="AD49" i="2" a="1"/>
  <c r="AD49" i="2" s="1"/>
  <c r="W54" i="2"/>
  <c r="W39" i="2"/>
  <c r="O39" i="2"/>
  <c r="O38" i="2"/>
  <c r="O50" i="2"/>
  <c r="O42" i="2"/>
  <c r="W47" i="2"/>
  <c r="AD54" i="2" a="1"/>
  <c r="AD54" i="2" s="1"/>
  <c r="AD48" i="2" a="1"/>
  <c r="AD48" i="2" s="1"/>
  <c r="AD41" i="2" a="1"/>
  <c r="AD41" i="2" s="1"/>
  <c r="S36" i="2"/>
  <c r="AD46" i="2" a="1"/>
  <c r="AD46" i="2" s="1"/>
  <c r="AD40" i="2" a="1"/>
  <c r="AD40" i="2" s="1"/>
  <c r="X55" i="2"/>
  <c r="O48" i="2"/>
  <c r="O55" i="2"/>
  <c r="P55" i="2" s="1"/>
  <c r="O47" i="2"/>
  <c r="W42" i="2"/>
  <c r="W50" i="2"/>
  <c r="AD52" i="2" a="1"/>
  <c r="AD52" i="2" s="1"/>
  <c r="AD45" i="2" a="1"/>
  <c r="AD45" i="2" s="1"/>
  <c r="AD39" i="2" a="1"/>
  <c r="AD39" i="2" s="1"/>
  <c r="O40" i="2"/>
  <c r="W40" i="2"/>
  <c r="G31" i="3"/>
  <c r="O54" i="2"/>
  <c r="O46" i="2"/>
  <c r="W43" i="2"/>
  <c r="W51" i="2"/>
  <c r="AD51" i="2" a="1"/>
  <c r="AD51" i="2" s="1"/>
  <c r="AD38" i="2" a="1"/>
  <c r="AD38" i="2" s="1"/>
  <c r="AC36" i="2"/>
  <c r="G12" i="3"/>
  <c r="T12" i="3"/>
  <c r="X27" i="2"/>
  <c r="F14" i="8" s="1"/>
  <c r="P27" i="2"/>
  <c r="F14" i="5" s="1"/>
  <c r="F16" i="3"/>
  <c r="T16" i="3" s="1"/>
  <c r="AD37" i="2" a="1"/>
  <c r="AD37" i="2" s="1"/>
  <c r="V48" i="2" a="1"/>
  <c r="V48" i="2" s="1"/>
  <c r="V47" i="2" a="1"/>
  <c r="V47" i="2" s="1"/>
  <c r="V54" i="2" a="1"/>
  <c r="V54" i="2" s="1"/>
  <c r="V46" i="2" a="1"/>
  <c r="V46" i="2" s="1"/>
  <c r="V53" i="2" a="1"/>
  <c r="V53" i="2" s="1"/>
  <c r="V45" i="2" a="1"/>
  <c r="V45" i="2" s="1"/>
  <c r="V50" i="2" a="1"/>
  <c r="V50" i="2" s="1"/>
  <c r="V55" i="2" a="1"/>
  <c r="V55" i="2" s="1"/>
  <c r="V52" i="2" a="1"/>
  <c r="V52" i="2" s="1"/>
  <c r="V44" i="2" a="1"/>
  <c r="V44" i="2" s="1"/>
  <c r="V51" i="2" a="1"/>
  <c r="V51" i="2" s="1"/>
  <c r="V43" i="2" a="1"/>
  <c r="V43" i="2" s="1"/>
  <c r="V42" i="2" a="1"/>
  <c r="V42" i="2" s="1"/>
  <c r="V41" i="2" a="1"/>
  <c r="V41" i="2" s="1"/>
  <c r="V40" i="2" a="1"/>
  <c r="V40" i="2" s="1"/>
  <c r="V49" i="2" a="1"/>
  <c r="V49" i="2" s="1"/>
  <c r="AE36" i="2"/>
  <c r="T56" i="2"/>
  <c r="O36" i="2"/>
  <c r="P36" i="2" s="1"/>
  <c r="W36" i="2"/>
  <c r="X36" i="2" s="1"/>
  <c r="E8" i="3"/>
  <c r="P10" i="2" s="1"/>
  <c r="F24" i="5" s="1"/>
  <c r="V36" i="2" a="1"/>
  <c r="V36" i="2" s="1"/>
  <c r="M36" i="2"/>
  <c r="X16" i="2" a="1"/>
  <c r="X16" i="2" s="1"/>
  <c r="X18" i="2" s="1"/>
  <c r="F18" i="8" s="1"/>
  <c r="AF16" i="2" a="1"/>
  <c r="AF16" i="2" s="1"/>
  <c r="AF18" i="2" s="1"/>
  <c r="F18" i="10" s="1"/>
  <c r="F15" i="3"/>
  <c r="T15" i="3" s="1"/>
  <c r="F14" i="3"/>
  <c r="T14" i="3" s="1"/>
  <c r="F13" i="3"/>
  <c r="T13" i="3" s="1"/>
  <c r="F19" i="3"/>
  <c r="X10" i="2"/>
  <c r="F24" i="8" s="1"/>
  <c r="E1" i="2"/>
  <c r="E2" i="2" s="1"/>
  <c r="X22" i="2" s="1"/>
  <c r="F1" i="2"/>
  <c r="F2" i="2" s="1"/>
  <c r="AF22" i="2" s="1"/>
  <c r="AF10" i="2"/>
  <c r="X48" i="2" l="1"/>
  <c r="Y48" i="2" s="1"/>
  <c r="N55" i="2" a="1"/>
  <c r="N55" i="2" s="1"/>
  <c r="Q55" i="2"/>
  <c r="X44" i="2"/>
  <c r="Y44" i="2" s="1"/>
  <c r="X37" i="2"/>
  <c r="AF36" i="2"/>
  <c r="X42" i="2"/>
  <c r="Y42" i="2" s="1"/>
  <c r="X40" i="2"/>
  <c r="Y40" i="2" s="1"/>
  <c r="F24" i="10"/>
  <c r="AF28" i="2"/>
  <c r="F14" i="10"/>
  <c r="M48" i="2"/>
  <c r="K48" i="2" s="1"/>
  <c r="G21" i="3"/>
  <c r="X51" i="2"/>
  <c r="Y51" i="2" s="1"/>
  <c r="X49" i="2"/>
  <c r="Y49" i="2" s="1"/>
  <c r="X46" i="2"/>
  <c r="Y46" i="2" s="1"/>
  <c r="X47" i="2"/>
  <c r="Y47" i="2" s="1"/>
  <c r="X50" i="2"/>
  <c r="Y50" i="2" s="1"/>
  <c r="M45" i="2"/>
  <c r="N45" i="2" s="1" a="1"/>
  <c r="N45" i="2" s="1"/>
  <c r="M53" i="2"/>
  <c r="K53" i="2" s="1"/>
  <c r="G24" i="3"/>
  <c r="G29" i="3"/>
  <c r="G20" i="3"/>
  <c r="M49" i="2"/>
  <c r="N49" i="2" s="1" a="1"/>
  <c r="N49" i="2" s="1"/>
  <c r="G28" i="3"/>
  <c r="G25" i="3"/>
  <c r="M44" i="2"/>
  <c r="K44" i="2" s="1"/>
  <c r="M52" i="2"/>
  <c r="N52" i="2" s="1" a="1"/>
  <c r="N52" i="2" s="1"/>
  <c r="T26" i="3"/>
  <c r="G26" i="3"/>
  <c r="M50" i="2"/>
  <c r="X54" i="2"/>
  <c r="Y54" i="2" s="1"/>
  <c r="T23" i="3"/>
  <c r="M47" i="2"/>
  <c r="T22" i="3"/>
  <c r="M46" i="2"/>
  <c r="G22" i="3"/>
  <c r="X52" i="2"/>
  <c r="Y52" i="2" s="1"/>
  <c r="X45" i="2"/>
  <c r="Y45" i="2" s="1"/>
  <c r="T30" i="3"/>
  <c r="M54" i="2"/>
  <c r="G30" i="3"/>
  <c r="X43" i="2"/>
  <c r="Y43" i="2" s="1"/>
  <c r="X41" i="2"/>
  <c r="Y41" i="2" s="1"/>
  <c r="X53" i="2"/>
  <c r="Y53" i="2" s="1"/>
  <c r="T18" i="3"/>
  <c r="M42" i="2"/>
  <c r="G18" i="3"/>
  <c r="K41" i="2"/>
  <c r="T27" i="3"/>
  <c r="M51" i="2"/>
  <c r="X39" i="2"/>
  <c r="T17" i="3"/>
  <c r="G17" i="3"/>
  <c r="X38" i="2"/>
  <c r="F20" i="8"/>
  <c r="Y36" i="2"/>
  <c r="K36" i="2"/>
  <c r="AD36" i="2" a="1"/>
  <c r="AD36" i="2" s="1"/>
  <c r="AA36" i="2"/>
  <c r="AF38" i="2" s="1"/>
  <c r="AG38" i="2" s="1"/>
  <c r="N41" i="2" a="1"/>
  <c r="N41" i="2" s="1"/>
  <c r="T19" i="3"/>
  <c r="M43" i="2"/>
  <c r="G19" i="3"/>
  <c r="G16" i="3"/>
  <c r="M40" i="2"/>
  <c r="X28" i="2"/>
  <c r="X29" i="2" s="1"/>
  <c r="N36" i="2" a="1"/>
  <c r="N36" i="2" s="1"/>
  <c r="V37" i="2" a="1"/>
  <c r="V37" i="2" s="1"/>
  <c r="Y37" i="2" s="1"/>
  <c r="G13" i="3"/>
  <c r="V38" i="2" a="1"/>
  <c r="V38" i="2" s="1"/>
  <c r="G14" i="3"/>
  <c r="V39" i="2" a="1"/>
  <c r="V39" i="2" s="1"/>
  <c r="G15" i="3"/>
  <c r="M38" i="2"/>
  <c r="K38" i="2" s="1"/>
  <c r="M37" i="2"/>
  <c r="M39" i="2"/>
  <c r="J41" i="1"/>
  <c r="P20" i="2" s="1"/>
  <c r="J33" i="1"/>
  <c r="J29" i="1"/>
  <c r="F12" i="5" s="1"/>
  <c r="AG36" i="2" l="1"/>
  <c r="AF37" i="2"/>
  <c r="AG37" i="2" s="1"/>
  <c r="N48" i="2" a="1"/>
  <c r="N48" i="2" s="1"/>
  <c r="K49" i="2"/>
  <c r="K45" i="2"/>
  <c r="N44" i="2" a="1"/>
  <c r="N44" i="2" s="1"/>
  <c r="Y39" i="2"/>
  <c r="F30" i="8"/>
  <c r="F12" i="4"/>
  <c r="N53" i="2" a="1"/>
  <c r="N53" i="2" s="1"/>
  <c r="K52" i="2"/>
  <c r="K43" i="2"/>
  <c r="K40" i="2"/>
  <c r="K51" i="2"/>
  <c r="N51" i="2" a="1"/>
  <c r="N51" i="2" s="1"/>
  <c r="K54" i="2"/>
  <c r="N54" i="2" a="1"/>
  <c r="N54" i="2" s="1"/>
  <c r="K46" i="2"/>
  <c r="N46" i="2" a="1"/>
  <c r="N46" i="2" s="1"/>
  <c r="K42" i="2"/>
  <c r="N42" i="2" a="1"/>
  <c r="N42" i="2" s="1"/>
  <c r="K47" i="2"/>
  <c r="N47" i="2" a="1"/>
  <c r="N47" i="2" s="1"/>
  <c r="K50" i="2"/>
  <c r="N50" i="2" a="1"/>
  <c r="N50" i="2" s="1"/>
  <c r="K39" i="2"/>
  <c r="Y38" i="2"/>
  <c r="P37" i="2"/>
  <c r="AF29" i="2"/>
  <c r="F20" i="10"/>
  <c r="J35" i="1"/>
  <c r="P18" i="2" s="1"/>
  <c r="P16" i="2"/>
  <c r="K37" i="2"/>
  <c r="N43" i="2" a="1"/>
  <c r="N43" i="2" s="1"/>
  <c r="N40" i="2" a="1"/>
  <c r="N40" i="2" s="1"/>
  <c r="N39" i="2" a="1"/>
  <c r="N39" i="2" s="1"/>
  <c r="N37" i="2" a="1"/>
  <c r="N37" i="2" s="1"/>
  <c r="N38" i="2" a="1"/>
  <c r="N38" i="2" s="1"/>
  <c r="D1" i="2"/>
  <c r="D2" i="2" s="1"/>
  <c r="J43" i="1" s="1"/>
  <c r="Y56" i="2" l="1"/>
  <c r="F26" i="8" s="1"/>
  <c r="AG56" i="2"/>
  <c r="P46" i="2"/>
  <c r="Q46" i="2" s="1"/>
  <c r="P51" i="2"/>
  <c r="Q51" i="2" s="1"/>
  <c r="P53" i="2"/>
  <c r="Q53" i="2" s="1"/>
  <c r="P41" i="2"/>
  <c r="Q41" i="2" s="1"/>
  <c r="P48" i="2"/>
  <c r="Q48" i="2" s="1"/>
  <c r="P39" i="2"/>
  <c r="Q39" i="2" s="1"/>
  <c r="P45" i="2"/>
  <c r="Q45" i="2" s="1"/>
  <c r="P42" i="2"/>
  <c r="Q42" i="2" s="1"/>
  <c r="P52" i="2"/>
  <c r="Q52" i="2" s="1"/>
  <c r="P38" i="2"/>
  <c r="Q38" i="2" s="1"/>
  <c r="P50" i="2"/>
  <c r="Q50" i="2" s="1"/>
  <c r="P40" i="2"/>
  <c r="Q40" i="2" s="1"/>
  <c r="P54" i="2"/>
  <c r="Q54" i="2" s="1"/>
  <c r="P47" i="2"/>
  <c r="Q47" i="2" s="1"/>
  <c r="P43" i="2"/>
  <c r="Q43" i="2" s="1"/>
  <c r="P49" i="2"/>
  <c r="Q49" i="2" s="1"/>
  <c r="P44" i="2"/>
  <c r="Q44" i="2" s="1"/>
  <c r="Q37" i="2"/>
  <c r="F30" i="10"/>
  <c r="F39" i="4"/>
  <c r="F18" i="5"/>
  <c r="Q36" i="2"/>
  <c r="P22" i="2"/>
  <c r="AF31" i="2" l="1"/>
  <c r="F36" i="10" s="1"/>
  <c r="X31" i="2"/>
  <c r="F13" i="4" s="1"/>
  <c r="F26" i="10"/>
  <c r="Q56" i="2"/>
  <c r="F26" i="5" s="1"/>
  <c r="P28" i="2"/>
  <c r="P29" i="2" s="1"/>
  <c r="F30" i="5" s="1"/>
  <c r="F20" i="5"/>
  <c r="F40" i="4" l="1"/>
  <c r="F42" i="4" s="1"/>
  <c r="F36" i="8"/>
  <c r="F32" i="8"/>
  <c r="F8" i="4"/>
  <c r="P31" i="2"/>
  <c r="F32" i="5" s="1"/>
  <c r="F36" i="5" l="1"/>
  <c r="F9" i="4"/>
  <c r="F32"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<sst xmlns="http://schemas.openxmlformats.org/spreadsheetml/2006/main" count="280" uniqueCount="129">
  <si>
    <t>Inheritance Tax (IHT) Calculator - step 1</t>
  </si>
  <si>
    <t>or no previous or new           gifts go to Step 4 -</t>
  </si>
  <si>
    <t>Enter assets and liabilities below</t>
  </si>
  <si>
    <t xml:space="preserve">Step 2 - </t>
  </si>
  <si>
    <t>Assets</t>
  </si>
  <si>
    <t>Current value</t>
  </si>
  <si>
    <t>Assumed value at death (if different)</t>
  </si>
  <si>
    <t>Value of main home</t>
  </si>
  <si>
    <t>Second home, business property/land</t>
  </si>
  <si>
    <t>Car(s), boat, etc</t>
  </si>
  <si>
    <t>Household contents and personal effects</t>
  </si>
  <si>
    <t>Bank and building society accounts</t>
  </si>
  <si>
    <t>Investments (stocks and shares, bonds, offshore accounts, ISAs)</t>
  </si>
  <si>
    <t>Life assurance policies (if not under trust)</t>
  </si>
  <si>
    <t>Pensions lump sum (if not under trust)</t>
  </si>
  <si>
    <t>Total</t>
  </si>
  <si>
    <t xml:space="preserve">Less any liabilities </t>
  </si>
  <si>
    <t>Mortgage on main home</t>
  </si>
  <si>
    <t>Additional mortgage(s), loans, hire purchase, credit cards</t>
  </si>
  <si>
    <t>Other liabilities (tax bills etc.)</t>
  </si>
  <si>
    <t>Nil rate bands available</t>
  </si>
  <si>
    <t>Current nil rate band</t>
  </si>
  <si>
    <t>Percentage of transferrable nil rate band available</t>
  </si>
  <si>
    <t>Residence nil rate band available</t>
  </si>
  <si>
    <t>Will residence be left to direct descendants?</t>
  </si>
  <si>
    <t>No</t>
  </si>
  <si>
    <t xml:space="preserve">Residence nil rate band </t>
  </si>
  <si>
    <t>Percentage of transferrable residence nil rate band available</t>
  </si>
  <si>
    <t>Other</t>
  </si>
  <si>
    <t>Enter any specific exemptions (E.G amount going to spouse / civil partner, business property relief, charitable legacy, downsizing addition)</t>
  </si>
  <si>
    <t xml:space="preserve">     Inheritance Tax (IHT) Calculator - steps 2 &amp; 3</t>
  </si>
  <si>
    <t xml:space="preserve">     Step 4 - </t>
  </si>
  <si>
    <r>
      <t xml:space="preserve">Step 2 - Enter gifts in the last 14 years </t>
    </r>
    <r>
      <rPr>
        <b/>
        <u/>
        <sz val="12"/>
        <color theme="1"/>
        <rFont val="Calibri"/>
        <family val="2"/>
        <scheme val="minor"/>
      </rPr>
      <t>already</t>
    </r>
    <r>
      <rPr>
        <b/>
        <sz val="12"/>
        <color theme="1"/>
        <rFont val="Calibri"/>
        <family val="2"/>
        <scheme val="minor"/>
      </rPr>
      <t xml:space="preserve"> made</t>
    </r>
  </si>
  <si>
    <r>
      <t>Step 3 - Proposed gifting strategy -</t>
    </r>
    <r>
      <rPr>
        <b/>
        <sz val="12"/>
        <color rgb="FFFF0000"/>
        <rFont val="Calibri"/>
        <family val="2"/>
        <scheme val="minor"/>
      </rPr>
      <t xml:space="preserve"> </t>
    </r>
    <r>
      <rPr>
        <b/>
        <sz val="8"/>
        <color rgb="FFFF0000"/>
        <rFont val="Calibri"/>
        <family val="2"/>
        <scheme val="minor"/>
      </rPr>
      <t xml:space="preserve">items liable to IHT Entry Charge will show in red </t>
    </r>
  </si>
  <si>
    <t>Entry charge step 2</t>
  </si>
  <si>
    <t>Entry charge step 3</t>
  </si>
  <si>
    <t>Date of gift dd/mm/yyy</t>
  </si>
  <si>
    <t>Type of gift</t>
  </si>
  <si>
    <t>Amount of gift (after exemptions)</t>
  </si>
  <si>
    <t>Complete years since gift</t>
  </si>
  <si>
    <t>Description e.g. discretionary trust</t>
  </si>
  <si>
    <t>Date of gift</t>
  </si>
  <si>
    <t>Type</t>
  </si>
  <si>
    <t xml:space="preserve">Amount </t>
  </si>
  <si>
    <t>Complete years</t>
  </si>
  <si>
    <t>Rate</t>
  </si>
  <si>
    <t>&lt;7</t>
  </si>
  <si>
    <t>Gifts within 7</t>
  </si>
  <si>
    <t>Tax</t>
  </si>
  <si>
    <t xml:space="preserve">     Inheritance Tax (IHT) Calculator - step 4</t>
  </si>
  <si>
    <t>Client name</t>
  </si>
  <si>
    <r>
      <t xml:space="preserve">Estate </t>
    </r>
    <r>
      <rPr>
        <b/>
        <u/>
        <sz val="11"/>
        <color theme="1"/>
        <rFont val="Calibri"/>
        <family val="2"/>
        <scheme val="minor"/>
      </rPr>
      <t>currently</t>
    </r>
    <r>
      <rPr>
        <b/>
        <sz val="11"/>
        <color theme="1"/>
        <rFont val="Calibri"/>
        <family val="2"/>
        <scheme val="minor"/>
      </rPr>
      <t xml:space="preserve"> </t>
    </r>
    <r>
      <rPr>
        <b/>
        <u/>
        <sz val="11"/>
        <color theme="1"/>
        <rFont val="Calibri"/>
        <family val="2"/>
        <scheme val="minor"/>
      </rPr>
      <t>liable</t>
    </r>
    <r>
      <rPr>
        <b/>
        <sz val="11"/>
        <color theme="1"/>
        <rFont val="Calibri"/>
        <family val="2"/>
        <scheme val="minor"/>
      </rPr>
      <t xml:space="preserve"> to IHT</t>
    </r>
  </si>
  <si>
    <t>See calculation</t>
  </si>
  <si>
    <r>
      <rPr>
        <b/>
        <u/>
        <sz val="11"/>
        <color theme="1"/>
        <rFont val="Calibri"/>
        <family val="2"/>
        <scheme val="minor"/>
      </rPr>
      <t>Current</t>
    </r>
    <r>
      <rPr>
        <b/>
        <sz val="11"/>
        <color theme="1"/>
        <rFont val="Calibri"/>
        <family val="2"/>
        <scheme val="minor"/>
      </rPr>
      <t xml:space="preserve"> IHT liability </t>
    </r>
  </si>
  <si>
    <t>Enter assumed date of death (DOD)</t>
  </si>
  <si>
    <t>Estate liable to IHT at DOD (pre gifting solutions)</t>
  </si>
  <si>
    <t>IHT liability (pre gifting solutions)</t>
  </si>
  <si>
    <t>Proposed gifting solutions (scroll down for impact)</t>
  </si>
  <si>
    <t>Revised estate liable to IHT</t>
  </si>
  <si>
    <t xml:space="preserve">Revised IHT liability </t>
  </si>
  <si>
    <t>IHT saving based on gifting solution</t>
  </si>
  <si>
    <t xml:space="preserve">This financial planning tool provides the current IHT liability of your client based on the information you provide. In addition, it can show the value of any IHT liability at a future date entered by you (provisional date of death). Finally, you are able to enter a series of proposed gifts to show the IHT impact of these proposed gifts should they be made. </t>
  </si>
  <si>
    <t>The results calculated by this tool are based on the information you provide. It is your responsibility to ensure that the information you have input into this tool is accurate, if it is not the figures provided following the calculation will not be correct and should not be relied upon. </t>
  </si>
  <si>
    <t>Every care has been taken to ensure that the information contained in this tool is correct and in accordance with our understanding of the law relating to IHT and HM Revenue and Customs practice as at April 2025. This could change in the future. </t>
  </si>
  <si>
    <t>You should be satisfied that the information you have entered and the results of any calculation are correct, before acting or refraining from acting in reliance upon the information given. </t>
  </si>
  <si>
    <t>Quilter accepts no responsibility for actions taken or refrained from being taken following use of this financial planning tool.</t>
  </si>
  <si>
    <t>More information on IHT can be found on our technical insights pages - www.quilter.com/help-and-support/technical-insights/</t>
  </si>
  <si>
    <t>Yes</t>
  </si>
  <si>
    <t>Estate above £2m</t>
  </si>
  <si>
    <t>Current IHT calc</t>
  </si>
  <si>
    <t>Revised IHT calc DOD</t>
  </si>
  <si>
    <t>Revised IHT calc with gifting plan</t>
  </si>
  <si>
    <t>Taper</t>
  </si>
  <si>
    <t>RNRB:</t>
  </si>
  <si>
    <t>NRB:</t>
  </si>
  <si>
    <t>Taper limit</t>
  </si>
  <si>
    <t>IHT rate</t>
  </si>
  <si>
    <t>Gifts within 7 years of death</t>
  </si>
  <si>
    <t>Lifetime rate</t>
  </si>
  <si>
    <t>Mortgages</t>
  </si>
  <si>
    <t>PET</t>
  </si>
  <si>
    <t>Loans, hire purchase, credit cards</t>
  </si>
  <si>
    <t>CLT</t>
  </si>
  <si>
    <t>Current nil rate band at DOD</t>
  </si>
  <si>
    <t>NRB</t>
  </si>
  <si>
    <t>RNRB</t>
  </si>
  <si>
    <t>nil rate band</t>
  </si>
  <si>
    <t>From</t>
  </si>
  <si>
    <t>To</t>
  </si>
  <si>
    <t>Threshold/nil rate band</t>
  </si>
  <si>
    <t>Residence nil rate band</t>
  </si>
  <si>
    <t>Residence nil rate band at DOD</t>
  </si>
  <si>
    <t>Enter any specifc exemptions (E.G amount going to spouse / civil partner, business property relief, charitable legacy)</t>
  </si>
  <si>
    <t>Total assets, less liabilities  &amp; exemptions</t>
  </si>
  <si>
    <t>Total nil rate bands available</t>
  </si>
  <si>
    <t>Estate above nil rate bands</t>
  </si>
  <si>
    <t xml:space="preserve">IHT payable </t>
  </si>
  <si>
    <t>IHT payable</t>
  </si>
  <si>
    <t>Current gifts</t>
  </si>
  <si>
    <t>Current gifts at date of death</t>
  </si>
  <si>
    <t>Current gifts after gifting plan</t>
  </si>
  <si>
    <t>Taper rates</t>
  </si>
  <si>
    <t xml:space="preserve">     Inheritance Tax (IHT) Calculator - summary of current IHT position</t>
  </si>
  <si>
    <t>Current value provided</t>
  </si>
  <si>
    <t>Total assets</t>
  </si>
  <si>
    <t>less</t>
  </si>
  <si>
    <t>Total liabilities</t>
  </si>
  <si>
    <t>Net estate (after exemptions entered)</t>
  </si>
  <si>
    <t>Nil rate band incl transferrable nil rate band</t>
  </si>
  <si>
    <t>Residence nil rate band incl. transferrable</t>
  </si>
  <si>
    <t>Gifts within 7 years</t>
  </si>
  <si>
    <t>Total gifts</t>
  </si>
  <si>
    <t>Tax on gifts after taper relief</t>
  </si>
  <si>
    <t>Taxable estate</t>
  </si>
  <si>
    <t>Estate taxable</t>
  </si>
  <si>
    <t>Tax on estate</t>
  </si>
  <si>
    <t>Total tax</t>
  </si>
  <si>
    <t>Date of death</t>
  </si>
  <si>
    <t>Total assets less proposed gift(s)</t>
  </si>
  <si>
    <t>Total gifts (incl. proposed)</t>
  </si>
  <si>
    <t>Version control</t>
  </si>
  <si>
    <t>V1</t>
  </si>
  <si>
    <t>Intial launch</t>
  </si>
  <si>
    <t>V2</t>
  </si>
  <si>
    <t>Error message added for same day gifts</t>
  </si>
  <si>
    <t>V3</t>
  </si>
  <si>
    <t>Error with gifts within 7 years calculation including PETs</t>
  </si>
  <si>
    <t>V4</t>
  </si>
  <si>
    <t>Frozen NRBs until 2030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</si>
</sst>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F800]dddd\,\ mmmm\ dd\,\ yyyy"/>
    <numFmt numFmtId="165" formatCode="&quot;£&quot;#,##0.00"/>
  </numFmts>
  <fonts count="21"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6"/>
      <color rgb="FF0F7B3F"/>
      <name val="Calibri"/>
      <family val="2"/>
      <scheme val="minor"/>
    </font>
    <font>
      <b/>
      <sz val="16"/>
      <color theme="1"/>
      <name val="Calibri"/>
      <family val="2"/>
      <scheme val="minor"/>
    </font>
    <font>
      <b/>
      <sz val="12"/>
      <color theme="1"/>
      <name val="Calibri"/>
      <family val="2"/>
      <scheme val="minor"/>
    </font>
    <font>
      <b/>
      <u/>
      <sz val="11"/>
      <color theme="1"/>
      <name val="Calibri"/>
      <family val="2"/>
      <scheme val="minor"/>
    </font>
    <font>
      <b/>
      <u/>
      <sz val="12"/>
      <color theme="1"/>
      <name val="Calibri"/>
      <family val="2"/>
      <scheme val="minor"/>
    </font>
    <font>
      <b/>
      <sz val="12"/>
      <color rgb="FFFF0000"/>
      <name val="Calibri"/>
      <family val="2"/>
      <scheme val="minor"/>
    </font>
    <font>
      <b/>
      <sz val="8"/>
      <color rgb="FFFF0000"/>
      <name val="Calibri"/>
      <family val="2"/>
      <scheme val="minor"/>
    </font>
    <font>
      <sz val="11"/>
      <name val="Calibri"/>
      <family val="2"/>
      <scheme val="minor"/>
    </font>
    <font>
      <b/>
      <sz val="9"/>
      <color rgb="FF0F7B3F"/>
      <name val="Calibri"/>
      <family val="2"/>
      <scheme val="minor"/>
    </font>
    <font>
      <u/>
      <sz val="11"/>
      <color theme="10"/>
      <name val="Calibri"/>
      <family val="2"/>
      <scheme val="minor"/>
    </font>
    <font>
      <u/>
      <sz val="10"/>
      <color rgb="FF0F7B3F"/>
      <name val="Calibri"/>
      <family val="2"/>
      <scheme val="minor"/>
    </font>
    <font>
      <sz val="11"/>
      <color rgb="FF9C0006"/>
      <name val="Calibri"/>
      <family val="2"/>
      <scheme val="minor"/>
    </font>
    <font>
      <sz val="10"/>
      <color theme="1"/>
      <name val="Calibri"/>
      <family val="2"/>
      <scheme val="minor"/>
    </font>
    <font>
      <sz val="8"/>
      <color theme="1"/>
      <name val="Calibri"/>
      <family val="2"/>
      <scheme val="minor"/>
    </font>
    <font>
      <sz val="10"/>
      <color rgb="FFFF000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rgb="FFFFC7CE"/>
      </patternFill>
    </fill>
  </fills>
  <borders count="28">
    <border>
      <left/>
      <right/>
      <top/>
      <bottom/>
      <diagonal/>
    </border>
    <border>
      <left style="thick">
        <color rgb="FF0F7B3F"/>
      </left>
      <right/>
      <top style="thick">
        <color rgb="FF0F7B3F"/>
      </top>
      <bottom/>
      <diagonal/>
    </border>
    <border>
      <left/>
      <right/>
      <top style="thick">
        <color rgb="FF0F7B3F"/>
      </top>
      <bottom/>
      <diagonal/>
    </border>
    <border>
      <left style="thick">
        <color rgb="FF0F7B3F"/>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rgb="FF0F7B3F"/>
      </right>
      <top style="thick">
        <color rgb="FF0F7B3F"/>
      </top>
      <bottom/>
      <diagonal/>
    </border>
    <border>
      <left/>
      <right style="thick">
        <color rgb="FF0F7B3F"/>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ck">
        <color rgb="FF0F7B3F"/>
      </left>
      <right/>
      <top/>
      <bottom style="thick">
        <color rgb="FF0F7B3F"/>
      </bottom>
      <diagonal/>
    </border>
    <border>
      <left/>
      <right/>
      <top/>
      <bottom style="thick">
        <color rgb="FF0F7B3F"/>
      </bottom>
      <diagonal/>
    </border>
    <border>
      <left/>
      <right style="thick">
        <color rgb="FF0F7B3F"/>
      </right>
      <top/>
      <bottom style="thick">
        <color rgb="FF0F7B3F"/>
      </bottom>
      <diagonal/>
    </border>
    <border>
      <left/>
      <right/>
      <top style="double">
        <color indexed="64"/>
      </top>
      <bottom style="thin">
        <color indexed="64"/>
      </bottom>
      <diagonal/>
    </border>
    <border>
      <left/>
      <right/>
      <top style="medium">
        <color indexed="64"/>
      </top>
      <bottom style="medium">
        <color indexed="64"/>
      </bottom>
      <diagonal/>
    </border>
    <border>
      <left/>
      <right/>
      <top style="thin">
        <color indexed="64"/>
      </top>
      <bottom/>
      <diagonal/>
    </border>
    <border>
      <left style="thick">
        <color rgb="FF0F7B3F"/>
      </left>
      <right style="thin">
        <color indexed="64"/>
      </right>
      <top/>
      <bottom/>
      <diagonal/>
    </border>
    <border>
      <left style="thin">
        <color indexed="64"/>
      </left>
      <right style="thick">
        <color rgb="FF0F7B3F"/>
      </right>
      <top/>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diagonal/>
    </border>
    <border>
      <left/>
      <right style="medium">
        <color indexed="64"/>
      </right>
      <top style="thin">
        <color indexed="64"/>
      </top>
      <bottom/>
      <diagonal/>
    </border>
    <border>
      <left style="medium">
        <color indexed="64"/>
      </left>
      <right/>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xf numFmtId="0" fontId="17" fillId="5" borderId="0" applyNumberFormat="0" applyBorder="0" applyAlignment="0" applyProtection="0"/>
  </cellStyleXfs>
  <cellXfs count="172">
    <xf numFmtId="0" fontId="0" fillId="0" borderId="0" xfId="0"/>
    <xf numFmtId="0" fontId="0" fillId="0" borderId="1" xfId="0" applyBorder="1"/>
    <xf numFmtId="0" fontId="0" fillId="0" borderId="2" xfId="0" applyBorder="1"/>
    <xf numFmtId="0" fontId="0" fillId="0" borderId="3" xfId="0" applyBorder="1"/>
    <xf numFmtId="0" fontId="4" fillId="0" borderId="0" xfId="0" applyFont="1"/>
    <xf numFmtId="0" fontId="6" fillId="0" borderId="0" xfId="0" applyFont="1"/>
    <xf numFmtId="0" fontId="0" fillId="0" borderId="0" xfId="0" applyAlignment="1">
      <alignment horizontal="right"/>
    </xf>
    <xf numFmtId="0" fontId="4" fillId="2" borderId="0" xfId="0" applyFont="1" applyFill="1"/>
    <xf numFmtId="0" fontId="0" fillId="0" borderId="6" xfId="0" applyBorder="1"/>
    <xf numFmtId="0" fontId="0" fillId="0" borderId="7" xfId="0" applyBorder="1"/>
    <xf numFmtId="0" fontId="0" fillId="2" borderId="0" xfId="0" applyFill="1"/>
    <xf numFmtId="0" fontId="7" fillId="0" borderId="0" xfId="0" applyFont="1"/>
    <xf numFmtId="2" fontId="0" fillId="0" borderId="0" xfId="0" applyNumberFormat="1"/>
    <xf numFmtId="0" fontId="8" fillId="0" borderId="0" xfId="0" applyFont="1"/>
    <xf numFmtId="0" fontId="0" fillId="0" borderId="8" xfId="0" applyBorder="1" applyAlignment="1">
      <alignment horizontal="center" wrapText="1"/>
    </xf>
    <xf numFmtId="0" fontId="0" fillId="0" borderId="8" xfId="0" applyBorder="1" applyAlignment="1">
      <alignment vertical="center"/>
    </xf>
    <xf numFmtId="0" fontId="8" fillId="0" borderId="0" xfId="0" applyFont="1" applyAlignment="1">
      <alignment horizontal="center"/>
    </xf>
    <xf numFmtId="14" fontId="0" fillId="0" borderId="0" xfId="0" applyNumberFormat="1"/>
    <xf numFmtId="0" fontId="0" fillId="0" borderId="10" xfId="0" applyBorder="1"/>
    <xf numFmtId="0" fontId="0" fillId="0" borderId="11" xfId="0" applyBorder="1"/>
    <xf numFmtId="0" fontId="0" fillId="0" borderId="12" xfId="0" applyBorder="1"/>
    <xf numFmtId="44" fontId="0" fillId="0" borderId="0" xfId="0" applyNumberFormat="1"/>
    <xf numFmtId="43" fontId="4" fillId="0" borderId="14" xfId="0" applyNumberFormat="1" applyFont="1" applyBorder="1" applyAlignment="1">
      <alignment horizontal="right"/>
    </xf>
    <xf numFmtId="0" fontId="4" fillId="0" borderId="14" xfId="0" applyFont="1" applyBorder="1" applyAlignment="1">
      <alignment horizontal="right"/>
    </xf>
    <xf numFmtId="0" fontId="0" fillId="3" borderId="8" xfId="0" applyFill="1" applyBorder="1" applyAlignment="1">
      <alignment horizontal="center"/>
    </xf>
    <xf numFmtId="0" fontId="3" fillId="0" borderId="0" xfId="0" applyFont="1"/>
    <xf numFmtId="14" fontId="0" fillId="2" borderId="8" xfId="0" applyNumberFormat="1" applyFill="1" applyBorder="1" applyProtection="1">
      <protection locked="0"/>
    </xf>
    <xf numFmtId="0" fontId="0" fillId="2" borderId="8" xfId="0" applyFill="1" applyBorder="1" applyProtection="1">
      <protection locked="0"/>
    </xf>
    <xf numFmtId="0" fontId="3" fillId="0" borderId="0" xfId="0" applyFont="1" applyAlignment="1">
      <alignment wrapText="1"/>
    </xf>
    <xf numFmtId="14" fontId="2" fillId="0" borderId="0" xfId="0" applyNumberFormat="1" applyFont="1"/>
    <xf numFmtId="44" fontId="0" fillId="2" borderId="8" xfId="0" applyNumberFormat="1" applyFill="1" applyBorder="1" applyProtection="1">
      <protection locked="0"/>
    </xf>
    <xf numFmtId="44" fontId="0" fillId="0" borderId="13" xfId="0" applyNumberFormat="1" applyBorder="1"/>
    <xf numFmtId="10" fontId="0" fillId="0" borderId="0" xfId="0" applyNumberFormat="1"/>
    <xf numFmtId="44" fontId="0" fillId="0" borderId="0" xfId="1" applyNumberFormat="1" applyFont="1" applyBorder="1" applyAlignment="1">
      <alignment horizontal="left"/>
    </xf>
    <xf numFmtId="0" fontId="5" fillId="3" borderId="16" xfId="0" applyFont="1" applyFill="1" applyBorder="1" applyAlignment="1">
      <alignment horizontal="center"/>
    </xf>
    <xf numFmtId="0" fontId="5" fillId="3" borderId="17" xfId="0" applyFont="1" applyFill="1" applyBorder="1" applyAlignment="1">
      <alignment horizontal="center"/>
    </xf>
    <xf numFmtId="44" fontId="0" fillId="0" borderId="0" xfId="2" applyFont="1" applyFill="1" applyBorder="1" applyAlignment="1"/>
    <xf numFmtId="14" fontId="0" fillId="0" borderId="8" xfId="0" applyNumberFormat="1" applyBorder="1"/>
    <xf numFmtId="0" fontId="0" fillId="0" borderId="8" xfId="0" applyBorder="1"/>
    <xf numFmtId="44" fontId="0" fillId="0" borderId="0" xfId="1" applyNumberFormat="1" applyFont="1" applyFill="1" applyBorder="1" applyAlignment="1">
      <alignment horizontal="left"/>
    </xf>
    <xf numFmtId="165" fontId="0" fillId="0" borderId="0" xfId="0" applyNumberFormat="1"/>
    <xf numFmtId="1" fontId="0" fillId="0" borderId="0" xfId="0" applyNumberFormat="1"/>
    <xf numFmtId="9" fontId="0" fillId="0" borderId="0" xfId="0" applyNumberFormat="1"/>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44" fontId="0" fillId="0" borderId="8" xfId="0" applyNumberFormat="1" applyBorder="1"/>
    <xf numFmtId="44" fontId="0" fillId="4" borderId="0" xfId="0" applyNumberFormat="1" applyFill="1"/>
    <xf numFmtId="0" fontId="0" fillId="0" borderId="8" xfId="0" applyBorder="1" applyAlignment="1">
      <alignment horizontal="left" wrapText="1"/>
    </xf>
    <xf numFmtId="0" fontId="0" fillId="0" borderId="8" xfId="0" applyBorder="1" applyAlignment="1">
      <alignment horizontal="left" vertical="center"/>
    </xf>
    <xf numFmtId="0" fontId="0" fillId="0" borderId="8" xfId="0" applyBorder="1" applyAlignment="1">
      <alignment horizontal="left" vertical="center" wrapText="1"/>
    </xf>
    <xf numFmtId="1" fontId="0" fillId="0" borderId="8" xfId="0" applyNumberFormat="1" applyBorder="1"/>
    <xf numFmtId="9" fontId="0" fillId="0" borderId="8" xfId="0" applyNumberFormat="1" applyBorder="1"/>
    <xf numFmtId="0" fontId="0" fillId="0" borderId="0" xfId="0" applyAlignment="1">
      <alignment wrapText="1"/>
    </xf>
    <xf numFmtId="164" fontId="0" fillId="0" borderId="7" xfId="0" applyNumberFormat="1" applyBorder="1" applyAlignment="1">
      <alignment horizontal="center"/>
    </xf>
    <xf numFmtId="0" fontId="4" fillId="0" borderId="7" xfId="0" applyFont="1" applyBorder="1"/>
    <xf numFmtId="0" fontId="8" fillId="0" borderId="7" xfId="0" applyFont="1" applyBorder="1"/>
    <xf numFmtId="0" fontId="0" fillId="0" borderId="0" xfId="0" applyAlignment="1">
      <alignment horizontal="center" wrapText="1"/>
    </xf>
    <xf numFmtId="0" fontId="0" fillId="0" borderId="0" xfId="0" applyAlignment="1">
      <alignment vertical="center"/>
    </xf>
    <xf numFmtId="0" fontId="0" fillId="0" borderId="7" xfId="0" applyBorder="1" applyAlignment="1">
      <alignment horizontal="center" vertical="center" wrapText="1"/>
    </xf>
    <xf numFmtId="0" fontId="5" fillId="3" borderId="3" xfId="0" applyFont="1" applyFill="1" applyBorder="1" applyAlignment="1">
      <alignment horizontal="center"/>
    </xf>
    <xf numFmtId="0" fontId="0" fillId="3" borderId="0" xfId="0" applyFill="1" applyAlignment="1">
      <alignment horizontal="center"/>
    </xf>
    <xf numFmtId="44" fontId="0" fillId="0" borderId="7" xfId="0" applyNumberFormat="1" applyBorder="1"/>
    <xf numFmtId="0" fontId="0" fillId="3" borderId="0" xfId="0" applyFill="1" applyAlignment="1">
      <alignment horizontal="left" vertical="center"/>
    </xf>
    <xf numFmtId="14" fontId="0" fillId="0" borderId="25" xfId="0" applyNumberFormat="1" applyBorder="1" applyAlignment="1">
      <alignment vertical="center"/>
    </xf>
    <xf numFmtId="0" fontId="0" fillId="3" borderId="0" xfId="0" applyFill="1" applyAlignment="1">
      <alignment horizontal="left"/>
    </xf>
    <xf numFmtId="0" fontId="4" fillId="0" borderId="0" xfId="0" applyFont="1" applyAlignment="1">
      <alignment vertical="center"/>
    </xf>
    <xf numFmtId="44" fontId="4" fillId="0" borderId="25" xfId="0" applyNumberFormat="1" applyFont="1" applyBorder="1" applyAlignment="1">
      <alignment horizontal="left" vertical="center"/>
    </xf>
    <xf numFmtId="44" fontId="4" fillId="0" borderId="0" xfId="0" applyNumberFormat="1" applyFont="1" applyAlignment="1">
      <alignment horizontal="left" vertical="center"/>
    </xf>
    <xf numFmtId="0" fontId="4" fillId="2" borderId="0" xfId="0" applyFont="1" applyFill="1" applyAlignment="1">
      <alignment horizontal="left" vertical="center"/>
    </xf>
    <xf numFmtId="44" fontId="4" fillId="2" borderId="0" xfId="0" applyNumberFormat="1" applyFont="1" applyFill="1" applyAlignment="1">
      <alignment horizontal="left" vertical="center"/>
    </xf>
    <xf numFmtId="0" fontId="14" fillId="0" borderId="26" xfId="0" applyFont="1" applyBorder="1" applyAlignment="1">
      <alignment horizontal="left" vertical="center" wrapText="1"/>
    </xf>
    <xf numFmtId="0" fontId="14" fillId="0" borderId="24" xfId="0" applyFont="1" applyBorder="1" applyAlignment="1">
      <alignment horizontal="left" vertical="center" wrapText="1"/>
    </xf>
    <xf numFmtId="0" fontId="9" fillId="2" borderId="0" xfId="0" applyFont="1" applyFill="1"/>
    <xf numFmtId="0" fontId="16" fillId="0" borderId="7" xfId="3" applyFont="1" applyBorder="1" applyAlignment="1" applyProtection="1">
      <alignment horizontal="center" wrapText="1"/>
    </xf>
    <xf numFmtId="0" fontId="16" fillId="0" borderId="7" xfId="3" applyFont="1" applyBorder="1" applyAlignment="1" applyProtection="1">
      <alignment horizontal="center" vertical="center" wrapText="1"/>
    </xf>
    <xf numFmtId="17" fontId="0" fillId="0" borderId="8" xfId="0" applyNumberFormat="1" applyBorder="1"/>
    <xf numFmtId="0" fontId="3" fillId="0" borderId="15" xfId="0" applyFont="1" applyBorder="1" applyAlignment="1">
      <alignment wrapText="1"/>
    </xf>
    <xf numFmtId="44" fontId="13" fillId="0" borderId="0" xfId="4" applyNumberFormat="1" applyFont="1" applyFill="1"/>
    <xf numFmtId="0" fontId="0" fillId="0" borderId="0" xfId="0" applyAlignment="1">
      <alignment horizontal="left"/>
    </xf>
    <xf numFmtId="0" fontId="0" fillId="0" borderId="8" xfId="0" applyBorder="1" applyAlignment="1">
      <alignment horizontal="center" vertical="center" wrapText="1"/>
    </xf>
    <xf numFmtId="0" fontId="18" fillId="0" borderId="0" xfId="0" applyFont="1" applyAlignment="1">
      <alignment horizontal="left" vertical="top" wrapText="1"/>
    </xf>
    <xf numFmtId="0" fontId="0" fillId="0" borderId="8" xfId="0" applyBorder="1" applyAlignment="1">
      <alignment horizontal="left"/>
    </xf>
    <xf numFmtId="0" fontId="4" fillId="0" borderId="0" xfId="0" applyFont="1" applyAlignment="1">
      <alignment horizontal="left"/>
    </xf>
    <xf numFmtId="0" fontId="19" fillId="0" borderId="0" xfId="0" applyFont="1" applyAlignment="1">
      <alignment vertical="top" wrapText="1"/>
    </xf>
    <xf numFmtId="0" fontId="19" fillId="0" borderId="7" xfId="0" applyFont="1" applyBorder="1" applyAlignment="1">
      <alignment vertical="top" wrapText="1"/>
    </xf>
    <xf numFmtId="14" fontId="9" fillId="2" borderId="0" xfId="0" applyNumberFormat="1" applyFont="1" applyFill="1" applyAlignment="1">
      <alignment horizontal="left"/>
    </xf>
    <xf numFmtId="14" fontId="4" fillId="0" borderId="0" xfId="0" applyNumberFormat="1" applyFont="1" applyAlignment="1">
      <alignment horizontal="left" vertical="center"/>
    </xf>
    <xf numFmtId="0" fontId="4" fillId="0" borderId="0" xfId="0" applyFont="1" applyAlignment="1">
      <alignment horizontal="left" vertical="center"/>
    </xf>
    <xf numFmtId="0" fontId="19" fillId="0" borderId="0" xfId="0" applyFont="1" applyAlignment="1">
      <alignment vertical="center" wrapText="1"/>
    </xf>
    <xf numFmtId="0" fontId="19" fillId="0" borderId="7" xfId="0" applyFont="1" applyBorder="1" applyAlignment="1">
      <alignment vertical="center" wrapText="1"/>
    </xf>
    <xf numFmtId="0" fontId="7" fillId="0" borderId="0" xfId="0" applyFont="1" applyAlignment="1">
      <alignment horizontal="left"/>
    </xf>
    <xf numFmtId="44" fontId="4" fillId="0" borderId="18" xfId="0" applyNumberFormat="1" applyFont="1" applyBorder="1"/>
    <xf numFmtId="44" fontId="4" fillId="0" borderId="19" xfId="0" applyNumberFormat="1" applyFont="1" applyBorder="1"/>
    <xf numFmtId="44" fontId="4" fillId="0" borderId="4" xfId="0" applyNumberFormat="1" applyFont="1" applyBorder="1" applyAlignment="1">
      <alignment horizontal="right"/>
    </xf>
    <xf numFmtId="44" fontId="4" fillId="0" borderId="5" xfId="0" applyNumberFormat="1" applyFont="1" applyBorder="1" applyAlignment="1">
      <alignment horizontal="right"/>
    </xf>
    <xf numFmtId="0" fontId="0" fillId="0" borderId="8" xfId="0" applyBorder="1" applyAlignment="1">
      <alignment horizontal="center" vertical="center" wrapText="1"/>
    </xf>
    <xf numFmtId="0" fontId="0" fillId="0" borderId="8" xfId="0" applyBorder="1" applyAlignment="1">
      <alignment horizontal="left"/>
    </xf>
    <xf numFmtId="0" fontId="4" fillId="0" borderId="0" xfId="0" applyFont="1" applyAlignment="1">
      <alignment horizontal="left"/>
    </xf>
    <xf numFmtId="0" fontId="0" fillId="2" borderId="21" xfId="0" applyFill="1" applyBorder="1" applyAlignment="1" applyProtection="1">
      <alignment horizontal="center"/>
      <protection locked="0"/>
    </xf>
    <xf numFmtId="0" fontId="0" fillId="2" borderId="15" xfId="0" applyFill="1" applyBorder="1" applyAlignment="1" applyProtection="1">
      <alignment horizontal="center"/>
      <protection locked="0"/>
    </xf>
    <xf numFmtId="0" fontId="0" fillId="2" borderId="20" xfId="0" applyFill="1" applyBorder="1" applyAlignment="1" applyProtection="1">
      <alignment horizontal="center"/>
      <protection locked="0"/>
    </xf>
    <xf numFmtId="164" fontId="4" fillId="2" borderId="4" xfId="0" applyNumberFormat="1" applyFont="1" applyFill="1" applyBorder="1" applyAlignment="1" applyProtection="1">
      <alignment horizontal="center"/>
      <protection locked="0"/>
    </xf>
    <xf numFmtId="164" fontId="4" fillId="2" borderId="5" xfId="0" applyNumberFormat="1" applyFont="1" applyFill="1" applyBorder="1" applyAlignment="1" applyProtection="1">
      <alignment horizontal="center"/>
      <protection locked="0"/>
    </xf>
    <xf numFmtId="44" fontId="4" fillId="0" borderId="4" xfId="0" applyNumberFormat="1" applyFont="1" applyBorder="1" applyAlignment="1">
      <alignment horizontal="center"/>
    </xf>
    <xf numFmtId="44" fontId="4" fillId="0" borderId="5" xfId="0" applyNumberFormat="1" applyFont="1" applyBorder="1" applyAlignment="1">
      <alignment horizontal="center"/>
    </xf>
    <xf numFmtId="0" fontId="16" fillId="0" borderId="27" xfId="3" applyFont="1" applyBorder="1" applyAlignment="1" applyProtection="1">
      <alignment horizontal="center" wrapText="1"/>
      <protection locked="0"/>
    </xf>
    <xf numFmtId="0" fontId="16" fillId="0" borderId="0" xfId="3" applyFont="1" applyBorder="1" applyAlignment="1" applyProtection="1">
      <alignment horizontal="center" wrapText="1"/>
      <protection locked="0"/>
    </xf>
    <xf numFmtId="0" fontId="16" fillId="0" borderId="27" xfId="3" applyFont="1" applyBorder="1" applyAlignment="1" applyProtection="1">
      <alignment horizontal="center" vertical="center" wrapText="1"/>
      <protection locked="0"/>
    </xf>
    <xf numFmtId="0" fontId="16" fillId="0" borderId="0" xfId="3" applyFont="1" applyBorder="1" applyAlignment="1" applyProtection="1">
      <alignment horizontal="center" vertical="center" wrapText="1"/>
      <protection locked="0"/>
    </xf>
    <xf numFmtId="0" fontId="18" fillId="0" borderId="0" xfId="0" applyFont="1" applyAlignment="1">
      <alignment horizontal="left" vertical="center" wrapText="1"/>
    </xf>
    <xf numFmtId="0" fontId="18" fillId="0" borderId="0" xfId="0" applyFont="1"/>
    <xf numFmtId="0" fontId="18" fillId="0" borderId="0" xfId="0" applyFont="1" applyAlignment="1">
      <alignment horizontal="left"/>
    </xf>
    <xf numFmtId="0" fontId="18" fillId="0" borderId="0" xfId="0" applyFont="1" applyAlignment="1">
      <alignment horizontal="left" vertical="top" wrapText="1"/>
    </xf>
    <xf numFmtId="0" fontId="18" fillId="0" borderId="0" xfId="0" applyFont="1" applyAlignment="1">
      <alignment wrapText="1"/>
    </xf>
    <xf numFmtId="44" fontId="0" fillId="2" borderId="4" xfId="0" applyNumberFormat="1" applyFill="1" applyBorder="1" applyAlignment="1" applyProtection="1">
      <alignment horizontal="center"/>
      <protection locked="0"/>
    </xf>
    <xf numFmtId="44" fontId="0" fillId="2" borderId="5" xfId="0" applyNumberFormat="1" applyFill="1" applyBorder="1" applyAlignment="1" applyProtection="1">
      <alignment horizontal="center"/>
      <protection locked="0"/>
    </xf>
    <xf numFmtId="0" fontId="0" fillId="0" borderId="0" xfId="0" applyAlignment="1">
      <alignment horizontal="left" vertical="top" wrapText="1"/>
    </xf>
    <xf numFmtId="0" fontId="0" fillId="0" borderId="0" xfId="0" applyAlignment="1">
      <alignment horizontal="left"/>
    </xf>
    <xf numFmtId="44" fontId="0" fillId="2" borderId="4" xfId="1" applyNumberFormat="1" applyFont="1" applyFill="1" applyBorder="1" applyAlignment="1" applyProtection="1">
      <alignment horizontal="right"/>
      <protection locked="0"/>
    </xf>
    <xf numFmtId="44" fontId="0" fillId="2" borderId="5" xfId="1" applyNumberFormat="1" applyFont="1" applyFill="1" applyBorder="1" applyAlignment="1" applyProtection="1">
      <alignment horizontal="right"/>
      <protection locked="0"/>
    </xf>
    <xf numFmtId="44" fontId="0" fillId="0" borderId="4" xfId="1" applyNumberFormat="1" applyFont="1" applyBorder="1" applyAlignment="1">
      <alignment horizontal="right"/>
    </xf>
    <xf numFmtId="44" fontId="0" fillId="0" borderId="5" xfId="1" applyNumberFormat="1" applyFont="1" applyBorder="1" applyAlignment="1">
      <alignment horizontal="right"/>
    </xf>
    <xf numFmtId="0" fontId="4" fillId="2" borderId="0" xfId="0" applyFont="1" applyFill="1" applyAlignment="1">
      <alignment horizontal="center"/>
    </xf>
    <xf numFmtId="0" fontId="0" fillId="2" borderId="4" xfId="0" applyFill="1" applyBorder="1" applyAlignment="1" applyProtection="1">
      <alignment horizontal="center"/>
      <protection locked="0"/>
    </xf>
    <xf numFmtId="0" fontId="0" fillId="2" borderId="5" xfId="0" applyFill="1" applyBorder="1" applyAlignment="1" applyProtection="1">
      <alignment horizontal="center"/>
      <protection locked="0"/>
    </xf>
    <xf numFmtId="10" fontId="0" fillId="2" borderId="4" xfId="0" applyNumberFormat="1" applyFill="1" applyBorder="1" applyAlignment="1" applyProtection="1">
      <alignment horizontal="right"/>
      <protection locked="0"/>
    </xf>
    <xf numFmtId="10" fontId="0" fillId="2" borderId="5" xfId="0" applyNumberFormat="1" applyFill="1" applyBorder="1" applyAlignment="1" applyProtection="1">
      <alignment horizontal="right"/>
      <protection locked="0"/>
    </xf>
    <xf numFmtId="44" fontId="0" fillId="0" borderId="4" xfId="1" applyNumberFormat="1" applyFont="1" applyBorder="1" applyAlignment="1" applyProtection="1">
      <alignment horizontal="right"/>
    </xf>
    <xf numFmtId="44" fontId="0" fillId="0" borderId="5" xfId="1" applyNumberFormat="1" applyFont="1" applyBorder="1" applyAlignment="1" applyProtection="1">
      <alignment horizontal="right"/>
    </xf>
    <xf numFmtId="0" fontId="4" fillId="0" borderId="0" xfId="0" applyFont="1" applyAlignment="1">
      <alignment horizontal="left" vertical="top" wrapText="1"/>
    </xf>
    <xf numFmtId="0" fontId="4" fillId="0" borderId="0" xfId="0" applyFont="1" applyAlignment="1">
      <alignment horizontal="center" wrapText="1"/>
    </xf>
    <xf numFmtId="44" fontId="0" fillId="2" borderId="4" xfId="0" applyNumberFormat="1" applyFill="1" applyBorder="1" applyAlignment="1" applyProtection="1">
      <alignment horizontal="right"/>
      <protection locked="0"/>
    </xf>
    <xf numFmtId="44" fontId="0" fillId="2" borderId="5" xfId="0" applyNumberFormat="1" applyFill="1" applyBorder="1" applyAlignment="1" applyProtection="1">
      <alignment horizontal="right"/>
      <protection locked="0"/>
    </xf>
    <xf numFmtId="0" fontId="3" fillId="0" borderId="0" xfId="0" applyFont="1" applyAlignment="1">
      <alignment horizontal="center" vertical="center" wrapText="1"/>
    </xf>
    <xf numFmtId="0" fontId="0" fillId="0" borderId="0" xfId="0" applyAlignment="1">
      <alignment horizontal="center" vertical="center" wrapText="1"/>
    </xf>
    <xf numFmtId="164" fontId="0" fillId="0" borderId="0" xfId="0" applyNumberFormat="1" applyAlignment="1">
      <alignment horizontal="center"/>
    </xf>
    <xf numFmtId="0" fontId="0" fillId="2" borderId="8" xfId="0" applyFill="1" applyBorder="1" applyAlignment="1" applyProtection="1">
      <alignment horizontal="left"/>
      <protection locked="0"/>
    </xf>
    <xf numFmtId="0" fontId="8" fillId="0" borderId="9" xfId="0" applyFont="1" applyBorder="1" applyAlignment="1">
      <alignment horizontal="left"/>
    </xf>
    <xf numFmtId="0" fontId="20" fillId="0" borderId="0" xfId="0" applyFont="1" applyAlignment="1">
      <alignment horizontal="center" vertical="center"/>
    </xf>
    <xf numFmtId="0" fontId="7" fillId="0" borderId="7" xfId="0" applyFont="1" applyBorder="1" applyAlignment="1">
      <alignment horizontal="left"/>
    </xf>
    <xf numFmtId="0" fontId="9" fillId="2" borderId="0" xfId="0" applyFont="1" applyFill="1" applyAlignment="1">
      <alignment horizontal="center"/>
    </xf>
    <xf numFmtId="0" fontId="4" fillId="0" borderId="0" xfId="0" applyFont="1" applyAlignment="1">
      <alignment horizontal="left" vertical="center" wrapText="1"/>
    </xf>
    <xf numFmtId="44" fontId="0" fillId="0" borderId="4" xfId="0" applyNumberFormat="1" applyBorder="1" applyAlignment="1">
      <alignment horizontal="center" vertical="center" wrapText="1"/>
    </xf>
    <xf numFmtId="0" fontId="0" fillId="0" borderId="5" xfId="0" applyBorder="1" applyAlignment="1">
      <alignment horizontal="center" vertical="center" wrapText="1"/>
    </xf>
    <xf numFmtId="14" fontId="4" fillId="0" borderId="0" xfId="0" applyNumberFormat="1" applyFont="1" applyAlignment="1">
      <alignment horizontal="left" vertical="center"/>
    </xf>
    <xf numFmtId="14" fontId="4" fillId="0" borderId="24" xfId="0" applyNumberFormat="1" applyFont="1" applyBorder="1" applyAlignment="1">
      <alignment horizontal="left" vertical="center"/>
    </xf>
    <xf numFmtId="44" fontId="13" fillId="0" borderId="4" xfId="0" applyNumberFormat="1" applyFont="1" applyBorder="1" applyAlignment="1">
      <alignment horizontal="left" vertical="center"/>
    </xf>
    <xf numFmtId="44" fontId="13" fillId="0" borderId="5" xfId="0" applyNumberFormat="1" applyFont="1" applyBorder="1" applyAlignment="1">
      <alignment horizontal="left" vertical="center"/>
    </xf>
    <xf numFmtId="0" fontId="4" fillId="2" borderId="0" xfId="0" applyFont="1" applyFill="1" applyAlignment="1">
      <alignment horizontal="left"/>
    </xf>
    <xf numFmtId="14" fontId="9" fillId="2" borderId="0" xfId="0" applyNumberFormat="1" applyFont="1" applyFill="1" applyAlignment="1">
      <alignment horizontal="left" vertical="center"/>
    </xf>
    <xf numFmtId="44" fontId="0" fillId="3" borderId="4" xfId="0" applyNumberFormat="1" applyFill="1" applyBorder="1" applyAlignment="1">
      <alignment horizontal="left" vertical="center"/>
    </xf>
    <xf numFmtId="44" fontId="0" fillId="3" borderId="5" xfId="0" applyNumberFormat="1" applyFill="1" applyBorder="1" applyAlignment="1">
      <alignment horizontal="left" vertical="center"/>
    </xf>
    <xf numFmtId="44" fontId="4" fillId="0" borderId="4" xfId="0" applyNumberFormat="1" applyFont="1" applyBorder="1" applyAlignment="1">
      <alignment horizontal="left" vertical="center"/>
    </xf>
    <xf numFmtId="44" fontId="4" fillId="0" borderId="5" xfId="0" applyNumberFormat="1" applyFont="1" applyBorder="1" applyAlignment="1">
      <alignment horizontal="left" vertical="center"/>
    </xf>
    <xf numFmtId="0" fontId="4" fillId="0" borderId="0" xfId="0" applyFont="1" applyAlignment="1">
      <alignment horizontal="left" vertical="center"/>
    </xf>
    <xf numFmtId="0" fontId="4" fillId="0" borderId="24" xfId="0" applyFont="1" applyBorder="1" applyAlignment="1">
      <alignment horizontal="left" vertical="center"/>
    </xf>
    <xf numFmtId="0" fontId="19" fillId="0" borderId="0" xfId="0" applyFont="1" applyAlignment="1">
      <alignment vertical="top" wrapText="1"/>
    </xf>
    <xf numFmtId="0" fontId="19" fillId="0" borderId="7" xfId="0" applyFont="1" applyBorder="1" applyAlignment="1">
      <alignment vertical="top" wrapText="1"/>
    </xf>
    <xf numFmtId="0" fontId="4" fillId="0" borderId="5" xfId="0" applyFont="1" applyBorder="1" applyAlignment="1">
      <alignment horizontal="left" vertical="center"/>
    </xf>
    <xf numFmtId="0" fontId="19" fillId="0" borderId="0" xfId="0" applyFont="1" applyAlignment="1">
      <alignment horizontal="left" vertical="top" wrapText="1"/>
    </xf>
    <xf numFmtId="0" fontId="19" fillId="0" borderId="7" xfId="0" applyFont="1" applyBorder="1" applyAlignment="1">
      <alignment horizontal="left" vertical="top" wrapText="1"/>
    </xf>
    <xf numFmtId="0" fontId="19" fillId="0" borderId="0" xfId="0" applyFont="1" applyAlignment="1">
      <alignment horizontal="left" wrapText="1"/>
    </xf>
    <xf numFmtId="0" fontId="19" fillId="0" borderId="7" xfId="0" applyFont="1" applyBorder="1" applyAlignment="1">
      <alignment horizontal="left" wrapText="1"/>
    </xf>
    <xf numFmtId="14" fontId="9" fillId="2" borderId="0" xfId="0" applyNumberFormat="1" applyFont="1" applyFill="1" applyAlignment="1">
      <alignment horizontal="left"/>
    </xf>
    <xf numFmtId="44" fontId="0" fillId="0" borderId="14" xfId="0" applyNumberFormat="1" applyBorder="1" applyAlignment="1">
      <alignment horizontal="left" vertical="center"/>
    </xf>
    <xf numFmtId="44" fontId="0" fillId="0" borderId="22" xfId="0" applyNumberFormat="1" applyBorder="1" applyAlignment="1">
      <alignment horizontal="left" vertical="center"/>
    </xf>
    <xf numFmtId="44" fontId="0" fillId="0" borderId="23" xfId="0" applyNumberFormat="1" applyBorder="1" applyAlignment="1">
      <alignment horizontal="left" vertical="center"/>
    </xf>
    <xf numFmtId="44" fontId="4" fillId="0" borderId="22" xfId="0" applyNumberFormat="1" applyFont="1" applyBorder="1" applyAlignment="1">
      <alignment horizontal="left" vertical="center"/>
    </xf>
    <xf numFmtId="44" fontId="4" fillId="0" borderId="23" xfId="0" applyNumberFormat="1" applyFont="1" applyBorder="1" applyAlignment="1">
      <alignment horizontal="left" vertical="center"/>
    </xf>
    <xf numFmtId="0" fontId="19" fillId="0" borderId="0" xfId="0" applyFont="1" applyAlignment="1">
      <alignment vertical="center" wrapText="1"/>
    </xf>
    <xf numFmtId="0" fontId="19" fillId="0" borderId="7" xfId="0" applyFont="1" applyBorder="1" applyAlignment="1">
      <alignment vertical="center" wrapText="1"/>
    </xf>
  </cellXfs>
  <cellStyles count="5">
    <cellStyle name="Bad" xfId="4" builtinId="27"/>
    <cellStyle name="Comma" xfId="1" builtinId="3"/>
    <cellStyle name="Currency" xfId="2" builtinId="4"/>
    <cellStyle name="Hyperlink" xfId="3" builtinId="8"/>
    <cellStyle name="Normal" xfId="0" builtinId="0"/>
  </cellStyles>
  <dxfs count="13">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u/>
        <color rgb="FFFF0000"/>
      </font>
      <fill>
        <patternFill patternType="none">
          <bgColor auto="1"/>
        </patternFill>
      </fill>
    </dxf>
    <dxf>
      <font>
        <color rgb="FFFF0000"/>
      </font>
    </dxf>
    <dxf>
      <font>
        <u/>
        <color rgb="FFFF0000"/>
      </font>
    </dxf>
  </dxfs>
  <tableStyles count="0" defaultTableStyle="TableStyleMedium2" defaultPivotStyle="PivotStyleLight16"/>
  <colors>
    <mruColors>
      <color rgb="FF0F7B3F"/>
      <color rgb="FF23AA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Results!E7"/><Relationship Id="rId2" Type="http://schemas.openxmlformats.org/officeDocument/2006/relationships/hyperlink" Target="#'Gifting details'!C12"/><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Results!E7"/><Relationship Id="rId2" Type="http://schemas.openxmlformats.org/officeDocument/2006/relationships/hyperlink" Target="#'Estate overview'!J12"/><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Estate overview'!J12"/><Relationship Id="rId2" Type="http://schemas.openxmlformats.org/officeDocument/2006/relationships/hyperlink" Target="#'Gifting details'!H12"/><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Results!E7"/><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hyperlink" Target="#Results!E7"/><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hyperlink" Target="#Results!E7"/><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4</xdr:col>
      <xdr:colOff>57149</xdr:colOff>
      <xdr:row>6</xdr:row>
      <xdr:rowOff>65616</xdr:rowOff>
    </xdr:to>
    <xdr:pic>
      <xdr:nvPicPr>
        <xdr:cNvPr id="2" name="Picture 1">
          <a:extLst>
            <a:ext uri="{FF2B5EF4-FFF2-40B4-BE49-F238E27FC236}">
              <a16:creationId xmlns:a16="http://schemas.microsoft.com/office/drawing/2014/main" id="{99108A88-65F4-4E07-9949-9B7ED28D078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7</xdr:col>
      <xdr:colOff>695325</xdr:colOff>
      <xdr:row>6</xdr:row>
      <xdr:rowOff>19050</xdr:rowOff>
    </xdr:from>
    <xdr:to>
      <xdr:col>9</xdr:col>
      <xdr:colOff>352425</xdr:colOff>
      <xdr:row>8</xdr:row>
      <xdr:rowOff>95250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BA212EB2-2347-074D-8EC8-E03BB4A19540}"/>
            </a:ext>
          </a:extLst>
        </xdr:cNvPr>
        <xdr:cNvSpPr/>
      </xdr:nvSpPr>
      <xdr:spPr>
        <a:xfrm>
          <a:off x="4962525" y="1257300"/>
          <a:ext cx="1019175"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Enter gifting</a:t>
          </a:r>
          <a:r>
            <a:rPr lang="en-GB" sz="1000" b="1" baseline="0">
              <a:solidFill>
                <a:srgbClr val="0F7B3F"/>
              </a:solidFill>
            </a:rPr>
            <a:t> information</a:t>
          </a:r>
          <a:endParaRPr lang="en-GB" sz="1100" b="1">
            <a:solidFill>
              <a:srgbClr val="0F7B3F"/>
            </a:solidFill>
          </a:endParaRPr>
        </a:p>
      </xdr:txBody>
    </xdr:sp>
    <xdr:clientData/>
  </xdr:twoCellAnchor>
  <xdr:twoCellAnchor>
    <xdr:from>
      <xdr:col>12</xdr:col>
      <xdr:colOff>209550</xdr:colOff>
      <xdr:row>6</xdr:row>
      <xdr:rowOff>19050</xdr:rowOff>
    </xdr:from>
    <xdr:to>
      <xdr:col>14</xdr:col>
      <xdr:colOff>9525</xdr:colOff>
      <xdr:row>8</xdr:row>
      <xdr:rowOff>95250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3947EEE-DBBC-4DC0-A3FA-38459E45B94F}"/>
            </a:ext>
          </a:extLst>
        </xdr:cNvPr>
        <xdr:cNvSpPr/>
      </xdr:nvSpPr>
      <xdr:spPr>
        <a:xfrm>
          <a:off x="7667625" y="1257300"/>
          <a:ext cx="1019175"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See IHT liability</a:t>
          </a:r>
          <a:endParaRPr lang="en-GB" sz="1100" b="1">
            <a:solidFill>
              <a:srgbClr val="0F7B3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3</xdr:col>
      <xdr:colOff>295274</xdr:colOff>
      <xdr:row>6</xdr:row>
      <xdr:rowOff>65616</xdr:rowOff>
    </xdr:to>
    <xdr:pic>
      <xdr:nvPicPr>
        <xdr:cNvPr id="2" name="Picture 1">
          <a:extLst>
            <a:ext uri="{FF2B5EF4-FFF2-40B4-BE49-F238E27FC236}">
              <a16:creationId xmlns:a16="http://schemas.microsoft.com/office/drawing/2014/main" id="{E11432BA-40CA-43ED-8901-4C8DC48C2D81}"/>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2</xdr:col>
      <xdr:colOff>0</xdr:colOff>
      <xdr:row>6</xdr:row>
      <xdr:rowOff>76200</xdr:rowOff>
    </xdr:from>
    <xdr:to>
      <xdr:col>3</xdr:col>
      <xdr:colOff>47625</xdr:colOff>
      <xdr:row>8</xdr:row>
      <xdr:rowOff>123825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7D35C25-8328-4877-91BB-D606A3306889}"/>
            </a:ext>
          </a:extLst>
        </xdr:cNvPr>
        <xdr:cNvSpPr/>
      </xdr:nvSpPr>
      <xdr:spPr>
        <a:xfrm>
          <a:off x="1219200" y="1314450"/>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step</a:t>
          </a:r>
          <a:r>
            <a:rPr lang="en-GB" sz="1000" b="1" baseline="0">
              <a:solidFill>
                <a:srgbClr val="0F7B3F"/>
              </a:solidFill>
            </a:rPr>
            <a:t> 1</a:t>
          </a:r>
          <a:endParaRPr lang="en-GB" sz="1100" b="1">
            <a:solidFill>
              <a:srgbClr val="0F7B3F"/>
            </a:solidFill>
          </a:endParaRPr>
        </a:p>
      </xdr:txBody>
    </xdr:sp>
    <xdr:clientData/>
  </xdr:twoCellAnchor>
  <xdr:twoCellAnchor>
    <xdr:from>
      <xdr:col>7</xdr:col>
      <xdr:colOff>733425</xdr:colOff>
      <xdr:row>6</xdr:row>
      <xdr:rowOff>76200</xdr:rowOff>
    </xdr:from>
    <xdr:to>
      <xdr:col>9</xdr:col>
      <xdr:colOff>0</xdr:colOff>
      <xdr:row>8</xdr:row>
      <xdr:rowOff>123825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3078C7BC-C7DB-4D09-91E3-33ACF5B7524A}"/>
            </a:ext>
          </a:extLst>
        </xdr:cNvPr>
        <xdr:cNvSpPr/>
      </xdr:nvSpPr>
      <xdr:spPr>
        <a:xfrm>
          <a:off x="6705600" y="1314450"/>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See IHT liability  </a:t>
          </a:r>
          <a:endParaRPr lang="en-GB" sz="1000" b="1" baseline="0">
            <a:solidFill>
              <a:srgbClr val="0F7B3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3</xdr:col>
      <xdr:colOff>295274</xdr:colOff>
      <xdr:row>6</xdr:row>
      <xdr:rowOff>65616</xdr:rowOff>
    </xdr:to>
    <xdr:pic>
      <xdr:nvPicPr>
        <xdr:cNvPr id="2" name="Picture 1">
          <a:extLst>
            <a:ext uri="{FF2B5EF4-FFF2-40B4-BE49-F238E27FC236}">
              <a16:creationId xmlns:a16="http://schemas.microsoft.com/office/drawing/2014/main" id="{A4B60335-1BD7-4508-A24B-D196B0F47D2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7</xdr:col>
      <xdr:colOff>95250</xdr:colOff>
      <xdr:row>40</xdr:row>
      <xdr:rowOff>76200</xdr:rowOff>
    </xdr:from>
    <xdr:to>
      <xdr:col>8</xdr:col>
      <xdr:colOff>514350</xdr:colOff>
      <xdr:row>42</xdr:row>
      <xdr:rowOff>133350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3D0D272-9E90-4796-959E-8EC6BE384F05}"/>
            </a:ext>
          </a:extLst>
        </xdr:cNvPr>
        <xdr:cNvSpPr/>
      </xdr:nvSpPr>
      <xdr:spPr>
        <a:xfrm>
          <a:off x="5895975" y="8086725"/>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step 3</a:t>
          </a:r>
        </a:p>
        <a:p>
          <a:pPr algn="ctr"/>
          <a:endParaRPr lang="en-GB" sz="1000" b="1" baseline="0">
            <a:solidFill>
              <a:srgbClr val="0F7B3F"/>
            </a:solidFill>
          </a:endParaRPr>
        </a:p>
      </xdr:txBody>
    </xdr:sp>
    <xdr:clientData/>
  </xdr:twoCellAnchor>
  <xdr:twoCellAnchor>
    <xdr:from>
      <xdr:col>7</xdr:col>
      <xdr:colOff>85725</xdr:colOff>
      <xdr:row>5</xdr:row>
      <xdr:rowOff>66675</xdr:rowOff>
    </xdr:from>
    <xdr:to>
      <xdr:col>8</xdr:col>
      <xdr:colOff>504825</xdr:colOff>
      <xdr:row>7</xdr:row>
      <xdr:rowOff>142875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C0F81C2-DE09-48B0-8190-7519DCC63148}"/>
            </a:ext>
          </a:extLst>
        </xdr:cNvPr>
        <xdr:cNvSpPr/>
      </xdr:nvSpPr>
      <xdr:spPr>
        <a:xfrm>
          <a:off x="5886450" y="1114425"/>
          <a:ext cx="1028700" cy="466725"/>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step</a:t>
          </a:r>
          <a:r>
            <a:rPr lang="en-GB" sz="1000" b="1" baseline="0">
              <a:solidFill>
                <a:srgbClr val="0F7B3F"/>
              </a:solidFill>
            </a:rPr>
            <a:t> 1</a:t>
          </a:r>
          <a:endParaRPr lang="en-GB" sz="1100" b="1">
            <a:solidFill>
              <a:srgbClr val="0F7B3F"/>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3</xdr:col>
      <xdr:colOff>295274</xdr:colOff>
      <xdr:row>6</xdr:row>
      <xdr:rowOff>65616</xdr:rowOff>
    </xdr:to>
    <xdr:pic>
      <xdr:nvPicPr>
        <xdr:cNvPr id="2" name="Picture 1">
          <a:extLst>
            <a:ext uri="{FF2B5EF4-FFF2-40B4-BE49-F238E27FC236}">
              <a16:creationId xmlns:a16="http://schemas.microsoft.com/office/drawing/2014/main" id="{23593DB0-A011-4394-8CD4-09F985101FF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7</xdr:col>
      <xdr:colOff>866775</xdr:colOff>
      <xdr:row>6</xdr:row>
      <xdr:rowOff>209550</xdr:rowOff>
    </xdr:from>
    <xdr:to>
      <xdr:col>9</xdr:col>
      <xdr:colOff>133350</xdr:colOff>
      <xdr:row>9</xdr:row>
      <xdr:rowOff>47625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0DF7CC-ED57-4E21-9659-D8D7855BF923}"/>
            </a:ext>
          </a:extLst>
        </xdr:cNvPr>
        <xdr:cNvSpPr/>
      </xdr:nvSpPr>
      <xdr:spPr>
        <a:xfrm>
          <a:off x="6838950" y="1638300"/>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IHT</a:t>
          </a:r>
          <a:r>
            <a:rPr lang="en-GB" sz="1000" b="1" baseline="0">
              <a:solidFill>
                <a:srgbClr val="0F7B3F"/>
              </a:solidFill>
            </a:rPr>
            <a:t> liability </a:t>
          </a:r>
          <a:endParaRPr lang="en-GB" sz="1100" b="1">
            <a:solidFill>
              <a:srgbClr val="0F7B3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3</xdr:col>
      <xdr:colOff>295274</xdr:colOff>
      <xdr:row>6</xdr:row>
      <xdr:rowOff>65616</xdr:rowOff>
    </xdr:to>
    <xdr:pic>
      <xdr:nvPicPr>
        <xdr:cNvPr id="2" name="Picture 1">
          <a:extLst>
            <a:ext uri="{FF2B5EF4-FFF2-40B4-BE49-F238E27FC236}">
              <a16:creationId xmlns:a16="http://schemas.microsoft.com/office/drawing/2014/main" id="{C3FBB6CC-F2BD-4E65-92D8-459DC5B18DB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7</xdr:col>
      <xdr:colOff>866775</xdr:colOff>
      <xdr:row>6</xdr:row>
      <xdr:rowOff>209550</xdr:rowOff>
    </xdr:from>
    <xdr:to>
      <xdr:col>9</xdr:col>
      <xdr:colOff>133350</xdr:colOff>
      <xdr:row>9</xdr:row>
      <xdr:rowOff>47625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85C5000-5FDA-4C9D-947C-A1250C9F53C4}"/>
            </a:ext>
          </a:extLst>
        </xdr:cNvPr>
        <xdr:cNvSpPr/>
      </xdr:nvSpPr>
      <xdr:spPr>
        <a:xfrm>
          <a:off x="6838950" y="1447800"/>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IHT</a:t>
          </a:r>
          <a:r>
            <a:rPr lang="en-GB" sz="1000" b="1" baseline="0">
              <a:solidFill>
                <a:srgbClr val="0F7B3F"/>
              </a:solidFill>
            </a:rPr>
            <a:t> liability </a:t>
          </a:r>
          <a:endParaRPr lang="en-GB" sz="1100" b="1">
            <a:solidFill>
              <a:srgbClr val="0F7B3F"/>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371475</xdr:colOff>
      <xdr:row>2</xdr:row>
      <xdr:rowOff>95250</xdr:rowOff>
    </xdr:from>
    <xdr:to>
      <xdr:col>3</xdr:col>
      <xdr:colOff>295274</xdr:colOff>
      <xdr:row>6</xdr:row>
      <xdr:rowOff>65616</xdr:rowOff>
    </xdr:to>
    <xdr:pic>
      <xdr:nvPicPr>
        <xdr:cNvPr id="2" name="Picture 1">
          <a:extLst>
            <a:ext uri="{FF2B5EF4-FFF2-40B4-BE49-F238E27FC236}">
              <a16:creationId xmlns:a16="http://schemas.microsoft.com/office/drawing/2014/main" id="{B40F46E5-26BE-4EB9-B4F5-08BD81E521FE}"/>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075" y="485775"/>
          <a:ext cx="1514474" cy="818091"/>
        </a:xfrm>
        <a:prstGeom prst="rect">
          <a:avLst/>
        </a:prstGeom>
      </xdr:spPr>
    </xdr:pic>
    <xdr:clientData/>
  </xdr:twoCellAnchor>
  <xdr:twoCellAnchor>
    <xdr:from>
      <xdr:col>7</xdr:col>
      <xdr:colOff>866775</xdr:colOff>
      <xdr:row>6</xdr:row>
      <xdr:rowOff>209550</xdr:rowOff>
    </xdr:from>
    <xdr:to>
      <xdr:col>9</xdr:col>
      <xdr:colOff>133350</xdr:colOff>
      <xdr:row>9</xdr:row>
      <xdr:rowOff>47625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738AD98-3137-4DEC-B548-B1C2C0D173FD}"/>
            </a:ext>
          </a:extLst>
        </xdr:cNvPr>
        <xdr:cNvSpPr/>
      </xdr:nvSpPr>
      <xdr:spPr>
        <a:xfrm>
          <a:off x="6838950" y="1447800"/>
          <a:ext cx="1028700" cy="457200"/>
        </a:xfrm>
        <a:prstGeom prst="roundRect">
          <a:avLst/>
        </a:prstGeom>
        <a:solidFill>
          <a:schemeClr val="bg1"/>
        </a:solidFill>
        <a:ln>
          <a:solidFill>
            <a:srgbClr val="0F7B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a:solidFill>
                <a:srgbClr val="0F7B3F"/>
              </a:solidFill>
            </a:rPr>
            <a:t>Return to IHT</a:t>
          </a:r>
          <a:r>
            <a:rPr lang="en-GB" sz="1000" b="1" baseline="0">
              <a:solidFill>
                <a:srgbClr val="0F7B3F"/>
              </a:solidFill>
            </a:rPr>
            <a:t> liability </a:t>
          </a:r>
          <a:endParaRPr lang="en-GB" sz="1100" b="1">
            <a:solidFill>
              <a:srgbClr val="0F7B3F"/>
            </a:solidFill>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E0DFF-F4FB-4A9B-B0E2-80E5DBD568DA}">
  <sheetPr codeName="Sheet1"/>
  <dimension ref="A1:P53"/>
  <sheetViews>
    <sheetView showGridLines="0" showRowColHeaders="0" workbookViewId="0">
      <selection activeCell="J17" sqref="J17:K17"/>
    </sheetView>
  </sheetViews>
  <sheetFormatPr defaultColWidth="0" defaultRowHeight="15" zeroHeight="1" x14ac:dyDescent="0.25"/>
  <cols>
    <col min="1" max="7" width="9.140625" customWidth="1"/>
    <col min="8" max="8" width="11.28515625" customWidth="1"/>
    <col min="9" max="16" width="9.140625" customWidth="1"/>
    <col min="17" max="16384" width="9.140625" hidden="1"/>
  </cols>
  <sheetData>
    <row r="1" spans="2:15" x14ac:dyDescent="0.25"/>
    <row r="2" spans="2:15" ht="15.75" thickBot="1" x14ac:dyDescent="0.3"/>
    <row r="3" spans="2:15" ht="15.75" thickTop="1" x14ac:dyDescent="0.25">
      <c r="B3" s="1"/>
      <c r="C3" s="2"/>
      <c r="D3" s="2"/>
      <c r="E3" s="2"/>
      <c r="F3" s="2"/>
      <c r="G3" s="2"/>
      <c r="H3" s="2"/>
      <c r="I3" s="2"/>
      <c r="J3" s="2"/>
      <c r="K3" s="2"/>
      <c r="L3" s="2"/>
      <c r="M3" s="2"/>
      <c r="N3" s="2"/>
      <c r="O3" s="8"/>
    </row>
    <row r="4" spans="2:15" x14ac:dyDescent="0.25">
      <c r="B4" s="3"/>
      <c r="O4" s="9"/>
    </row>
    <row r="5" spans="2:15" ht="21" x14ac:dyDescent="0.35">
      <c r="B5" s="3"/>
      <c r="C5" s="5"/>
      <c r="E5" s="11" t="s">
        <v>0</v>
      </c>
      <c r="O5" s="9"/>
    </row>
    <row r="6" spans="2:15" ht="15" customHeight="1" x14ac:dyDescent="0.35">
      <c r="B6" s="3"/>
      <c r="C6" s="5"/>
      <c r="E6" s="11"/>
      <c r="O6" s="9"/>
    </row>
    <row r="7" spans="2:15" ht="15" customHeight="1" x14ac:dyDescent="0.35">
      <c r="B7" s="3"/>
      <c r="C7" s="5"/>
      <c r="E7" s="11"/>
      <c r="J7" s="53"/>
      <c r="K7" s="130" t="s">
        <v>1</v>
      </c>
      <c r="L7" s="130"/>
      <c r="M7" s="130"/>
      <c r="O7" s="9"/>
    </row>
    <row r="8" spans="2:15" ht="15" customHeight="1" x14ac:dyDescent="0.35">
      <c r="B8" s="3"/>
      <c r="C8" s="13" t="s">
        <v>2</v>
      </c>
      <c r="E8" s="11"/>
      <c r="H8" s="16" t="s">
        <v>3</v>
      </c>
      <c r="J8" s="53"/>
      <c r="K8" s="130"/>
      <c r="L8" s="130"/>
      <c r="M8" s="130"/>
      <c r="O8" s="9"/>
    </row>
    <row r="9" spans="2:15" x14ac:dyDescent="0.25">
      <c r="B9" s="3"/>
      <c r="K9" s="130"/>
      <c r="L9" s="130"/>
      <c r="M9" s="130"/>
      <c r="O9" s="9"/>
    </row>
    <row r="10" spans="2:15" x14ac:dyDescent="0.25">
      <c r="B10" s="3"/>
      <c r="C10" s="7" t="s">
        <v>4</v>
      </c>
      <c r="D10" s="10"/>
      <c r="E10" s="10"/>
      <c r="F10" s="10"/>
      <c r="G10" s="10"/>
      <c r="H10" s="10"/>
      <c r="I10" s="10"/>
      <c r="J10" s="123" t="s">
        <v>5</v>
      </c>
      <c r="K10" s="123"/>
      <c r="M10" s="131" t="s">
        <v>6</v>
      </c>
      <c r="N10" s="131"/>
      <c r="O10" s="9"/>
    </row>
    <row r="11" spans="2:15" ht="15.75" thickBot="1" x14ac:dyDescent="0.3">
      <c r="B11" s="3"/>
      <c r="M11" s="131"/>
      <c r="N11" s="131"/>
      <c r="O11" s="9"/>
    </row>
    <row r="12" spans="2:15" ht="15.75" thickBot="1" x14ac:dyDescent="0.3">
      <c r="B12" s="3"/>
      <c r="C12" s="118" t="s">
        <v>7</v>
      </c>
      <c r="D12" s="118"/>
      <c r="E12" s="118"/>
      <c r="F12" s="118"/>
      <c r="G12" s="118"/>
      <c r="H12" s="118"/>
      <c r="I12" s="6"/>
      <c r="J12" s="119">
        <v>450000</v>
      </c>
      <c r="K12" s="120"/>
      <c r="L12" s="6"/>
      <c r="M12" s="115"/>
      <c r="N12" s="116"/>
      <c r="O12" s="9"/>
    </row>
    <row r="13" spans="2:15" ht="15.75" thickBot="1" x14ac:dyDescent="0.3">
      <c r="B13" s="3"/>
      <c r="C13" s="118" t="s">
        <v>8</v>
      </c>
      <c r="D13" s="118"/>
      <c r="E13" s="118"/>
      <c r="F13" s="118"/>
      <c r="G13" s="118"/>
      <c r="H13" s="118"/>
      <c r="I13" s="6"/>
      <c r="J13" s="119">
        <v>0</v>
      </c>
      <c r="K13" s="120"/>
      <c r="L13" s="6"/>
      <c r="M13" s="115"/>
      <c r="N13" s="116"/>
      <c r="O13" s="9"/>
    </row>
    <row r="14" spans="2:15" ht="15.75" thickBot="1" x14ac:dyDescent="0.3">
      <c r="B14" s="3"/>
      <c r="C14" s="118" t="s">
        <v>9</v>
      </c>
      <c r="D14" s="118"/>
      <c r="E14" s="118"/>
      <c r="F14" s="118"/>
      <c r="G14" s="118"/>
      <c r="H14" s="118"/>
      <c r="I14" s="6"/>
      <c r="J14" s="119">
        <v>40000</v>
      </c>
      <c r="K14" s="120"/>
      <c r="L14" s="6"/>
      <c r="M14" s="115"/>
      <c r="N14" s="116"/>
      <c r="O14" s="9"/>
    </row>
    <row r="15" spans="2:15" ht="15.75" thickBot="1" x14ac:dyDescent="0.3">
      <c r="B15" s="3"/>
      <c r="C15" s="118" t="s">
        <v>10</v>
      </c>
      <c r="D15" s="118"/>
      <c r="E15" s="118"/>
      <c r="F15" s="118"/>
      <c r="G15" s="118"/>
      <c r="H15" s="118"/>
      <c r="I15" s="6"/>
      <c r="J15" s="119">
        <v>0</v>
      </c>
      <c r="K15" s="120"/>
      <c r="L15" s="6"/>
      <c r="M15" s="115"/>
      <c r="N15" s="116"/>
      <c r="O15" s="9"/>
    </row>
    <row r="16" spans="2:15" ht="15.75" thickBot="1" x14ac:dyDescent="0.3">
      <c r="B16" s="3"/>
      <c r="C16" s="118" t="s">
        <v>11</v>
      </c>
      <c r="D16" s="118"/>
      <c r="E16" s="118"/>
      <c r="F16" s="118"/>
      <c r="G16" s="118"/>
      <c r="H16" s="118"/>
      <c r="I16" s="6"/>
      <c r="J16" s="119">
        <v>276000</v>
      </c>
      <c r="K16" s="120"/>
      <c r="L16" s="6"/>
      <c r="M16" s="115"/>
      <c r="N16" s="116"/>
      <c r="O16" s="9"/>
    </row>
    <row r="17" spans="2:15" ht="15.75" thickBot="1" x14ac:dyDescent="0.3">
      <c r="B17" s="3"/>
      <c r="C17" s="118" t="s">
        <v>12</v>
      </c>
      <c r="D17" s="118"/>
      <c r="E17" s="118"/>
      <c r="F17" s="118"/>
      <c r="G17" s="118"/>
      <c r="H17" s="118"/>
      <c r="I17" s="6"/>
      <c r="J17" s="119"/>
      <c r="K17" s="120"/>
      <c r="L17" s="6"/>
      <c r="M17" s="115"/>
      <c r="N17" s="116"/>
      <c r="O17" s="9"/>
    </row>
    <row r="18" spans="2:15" ht="15.75" thickBot="1" x14ac:dyDescent="0.3">
      <c r="B18" s="3"/>
      <c r="C18" s="118" t="s">
        <v>13</v>
      </c>
      <c r="D18" s="118"/>
      <c r="E18" s="118"/>
      <c r="F18" s="118"/>
      <c r="G18" s="118"/>
      <c r="H18" s="118"/>
      <c r="I18" s="6"/>
      <c r="J18" s="119">
        <v>0</v>
      </c>
      <c r="K18" s="120"/>
      <c r="L18" s="6"/>
      <c r="M18" s="115"/>
      <c r="N18" s="116"/>
      <c r="O18" s="9"/>
    </row>
    <row r="19" spans="2:15" ht="15.75" thickBot="1" x14ac:dyDescent="0.3">
      <c r="B19" s="3"/>
      <c r="C19" s="118" t="s">
        <v>14</v>
      </c>
      <c r="D19" s="118"/>
      <c r="E19" s="118"/>
      <c r="F19" s="118"/>
      <c r="G19" s="118"/>
      <c r="H19" s="118"/>
      <c r="I19" s="6"/>
      <c r="J19" s="119">
        <v>0</v>
      </c>
      <c r="K19" s="120"/>
      <c r="L19" s="6"/>
      <c r="M19" s="115"/>
      <c r="N19" s="116"/>
      <c r="O19" s="9"/>
    </row>
    <row r="20" spans="2:15" ht="15.75" thickBot="1" x14ac:dyDescent="0.3">
      <c r="B20" s="3"/>
      <c r="J20" s="6"/>
      <c r="K20" s="6"/>
      <c r="O20" s="9"/>
    </row>
    <row r="21" spans="2:15" ht="15.75" thickBot="1" x14ac:dyDescent="0.3">
      <c r="B21" s="3"/>
      <c r="I21" s="6" t="s">
        <v>15</v>
      </c>
      <c r="J21" s="121">
        <f>SUM(J12:K19)</f>
        <v>766000</v>
      </c>
      <c r="K21" s="122"/>
      <c r="O21" s="9"/>
    </row>
    <row r="22" spans="2:15" x14ac:dyDescent="0.25">
      <c r="B22" s="3"/>
      <c r="O22" s="9"/>
    </row>
    <row r="23" spans="2:15" x14ac:dyDescent="0.25">
      <c r="B23" s="3"/>
      <c r="C23" s="7" t="s">
        <v>16</v>
      </c>
      <c r="D23" s="10"/>
      <c r="E23" s="10"/>
      <c r="F23" s="10"/>
      <c r="G23" s="10"/>
      <c r="H23" s="10"/>
      <c r="I23" s="10"/>
      <c r="J23" s="10"/>
      <c r="K23" s="10"/>
      <c r="O23" s="9"/>
    </row>
    <row r="24" spans="2:15" ht="15.75" thickBot="1" x14ac:dyDescent="0.3">
      <c r="B24" s="3"/>
      <c r="O24" s="9"/>
    </row>
    <row r="25" spans="2:15" ht="15.75" thickBot="1" x14ac:dyDescent="0.3">
      <c r="B25" s="3"/>
      <c r="C25" s="118" t="s">
        <v>17</v>
      </c>
      <c r="D25" s="118"/>
      <c r="E25" s="118"/>
      <c r="F25" s="118"/>
      <c r="G25" s="118"/>
      <c r="H25" s="118"/>
      <c r="I25" s="6"/>
      <c r="J25" s="119">
        <v>0</v>
      </c>
      <c r="K25" s="120"/>
      <c r="L25" s="6"/>
      <c r="M25" s="132"/>
      <c r="N25" s="133"/>
      <c r="O25" s="9"/>
    </row>
    <row r="26" spans="2:15" ht="15.75" thickBot="1" x14ac:dyDescent="0.3">
      <c r="B26" s="3"/>
      <c r="C26" s="118" t="s">
        <v>18</v>
      </c>
      <c r="D26" s="118"/>
      <c r="E26" s="118"/>
      <c r="F26" s="118"/>
      <c r="G26" s="118"/>
      <c r="H26" s="118"/>
      <c r="I26" s="6"/>
      <c r="J26" s="119"/>
      <c r="K26" s="120"/>
      <c r="L26" s="6"/>
      <c r="M26" s="132"/>
      <c r="N26" s="133"/>
      <c r="O26" s="9"/>
    </row>
    <row r="27" spans="2:15" ht="15.75" thickBot="1" x14ac:dyDescent="0.3">
      <c r="B27" s="3"/>
      <c r="C27" s="118" t="s">
        <v>19</v>
      </c>
      <c r="D27" s="118"/>
      <c r="E27" s="118"/>
      <c r="F27" s="118"/>
      <c r="G27" s="118"/>
      <c r="H27" s="118"/>
      <c r="I27" s="6"/>
      <c r="J27" s="119">
        <v>0</v>
      </c>
      <c r="K27" s="120"/>
      <c r="L27" s="6"/>
      <c r="M27" s="132"/>
      <c r="N27" s="133"/>
      <c r="O27" s="9"/>
    </row>
    <row r="28" spans="2:15" ht="15.75" thickBot="1" x14ac:dyDescent="0.3">
      <c r="B28" s="3"/>
      <c r="O28" s="9"/>
    </row>
    <row r="29" spans="2:15" ht="15.75" thickBot="1" x14ac:dyDescent="0.3">
      <c r="B29" s="3"/>
      <c r="I29" s="6" t="s">
        <v>15</v>
      </c>
      <c r="J29" s="121">
        <f>SUM(J25:K27)</f>
        <v>0</v>
      </c>
      <c r="K29" s="122"/>
      <c r="O29" s="9"/>
    </row>
    <row r="30" spans="2:15" x14ac:dyDescent="0.25">
      <c r="B30" s="3"/>
      <c r="O30" s="9"/>
    </row>
    <row r="31" spans="2:15" x14ac:dyDescent="0.25">
      <c r="B31" s="3"/>
      <c r="C31" s="10" t="s">
        <v>20</v>
      </c>
      <c r="D31" s="10"/>
      <c r="E31" s="10"/>
      <c r="F31" s="10"/>
      <c r="G31" s="10"/>
      <c r="H31" s="10"/>
      <c r="I31" s="10"/>
      <c r="J31" s="10"/>
      <c r="K31" s="10"/>
      <c r="O31" s="9"/>
    </row>
    <row r="32" spans="2:15" ht="15.75" thickBot="1" x14ac:dyDescent="0.3">
      <c r="B32" s="3"/>
      <c r="O32" s="9"/>
    </row>
    <row r="33" spans="2:15" ht="15.75" thickBot="1" x14ac:dyDescent="0.3">
      <c r="B33" s="3"/>
      <c r="C33" t="s">
        <v>21</v>
      </c>
      <c r="I33" s="6"/>
      <c r="J33" s="128">
        <f>Current_NRB</f>
        <v>325000</v>
      </c>
      <c r="K33" s="129"/>
      <c r="O33" s="9"/>
    </row>
    <row r="34" spans="2:15" ht="15.75" thickBot="1" x14ac:dyDescent="0.3">
      <c r="B34" s="3"/>
      <c r="C34" t="s">
        <v>22</v>
      </c>
      <c r="J34" s="126">
        <v>1</v>
      </c>
      <c r="K34" s="127"/>
      <c r="O34" s="9"/>
    </row>
    <row r="35" spans="2:15" ht="15.75" thickBot="1" x14ac:dyDescent="0.3">
      <c r="B35" s="3"/>
      <c r="I35" s="6" t="s">
        <v>15</v>
      </c>
      <c r="J35" s="121">
        <f>(J33+(J33*J34))</f>
        <v>650000</v>
      </c>
      <c r="K35" s="122"/>
      <c r="O35" s="9"/>
    </row>
    <row r="36" spans="2:15" x14ac:dyDescent="0.25">
      <c r="B36" s="3"/>
      <c r="O36" s="9"/>
    </row>
    <row r="37" spans="2:15" x14ac:dyDescent="0.25">
      <c r="B37" s="3"/>
      <c r="C37" s="10" t="s">
        <v>23</v>
      </c>
      <c r="D37" s="10"/>
      <c r="E37" s="10"/>
      <c r="F37" s="10"/>
      <c r="G37" s="10"/>
      <c r="H37" s="10"/>
      <c r="I37" s="10"/>
      <c r="J37" s="10"/>
      <c r="K37" s="10"/>
      <c r="O37" s="9"/>
    </row>
    <row r="38" spans="2:15" ht="15.75" thickBot="1" x14ac:dyDescent="0.3">
      <c r="B38" s="3"/>
      <c r="O38" s="9"/>
    </row>
    <row r="39" spans="2:15" ht="15.75" thickBot="1" x14ac:dyDescent="0.3">
      <c r="B39" s="3"/>
      <c r="C39" t="s">
        <v>24</v>
      </c>
      <c r="J39" s="124" t="s">
        <v>67</v>
      </c>
      <c r="K39" s="125"/>
      <c r="O39" s="9"/>
    </row>
    <row r="40" spans="2:15" ht="15.75" thickBot="1" x14ac:dyDescent="0.3">
      <c r="B40" s="3"/>
      <c r="O40" s="9"/>
    </row>
    <row r="41" spans="2:15" ht="15.75" thickBot="1" x14ac:dyDescent="0.3">
      <c r="B41" s="3"/>
      <c r="C41" t="s">
        <v>26</v>
      </c>
      <c r="I41" s="6"/>
      <c r="J41" s="121">
        <f>IF(J39="Yes",Current_RNRB,0)</f>
        <v>175000</v>
      </c>
      <c r="K41" s="122"/>
      <c r="O41" s="9"/>
    </row>
    <row r="42" spans="2:15" ht="15.75" thickBot="1" x14ac:dyDescent="0.3">
      <c r="B42" s="3"/>
      <c r="C42" t="s">
        <v>27</v>
      </c>
      <c r="J42" s="126">
        <v>1</v>
      </c>
      <c r="K42" s="127"/>
      <c r="O42" s="9"/>
    </row>
    <row r="43" spans="2:15" ht="15.75" thickBot="1" x14ac:dyDescent="0.3">
      <c r="B43" s="3"/>
      <c r="I43" s="6" t="s">
        <v>15</v>
      </c>
      <c r="J43" s="121">
        <f>MIN(MAX(J41+(J41*J42)-'Data sheet'!D2,0),MAX(J12-J25,0))</f>
        <v>350000</v>
      </c>
      <c r="K43" s="122"/>
      <c r="O43" s="9"/>
    </row>
    <row r="44" spans="2:15" x14ac:dyDescent="0.25">
      <c r="B44" s="3"/>
      <c r="O44" s="9"/>
    </row>
    <row r="45" spans="2:15" x14ac:dyDescent="0.25">
      <c r="B45" s="3"/>
      <c r="C45" s="10" t="s">
        <v>28</v>
      </c>
      <c r="D45" s="10"/>
      <c r="E45" s="10"/>
      <c r="F45" s="10"/>
      <c r="G45" s="10"/>
      <c r="H45" s="10"/>
      <c r="I45" s="10"/>
      <c r="J45" s="10"/>
      <c r="K45" s="10"/>
      <c r="O45" s="9"/>
    </row>
    <row r="46" spans="2:15" ht="15.75" thickBot="1" x14ac:dyDescent="0.3">
      <c r="B46" s="3"/>
      <c r="O46" s="9"/>
    </row>
    <row r="47" spans="2:15" ht="15.75" customHeight="1" thickBot="1" x14ac:dyDescent="0.3">
      <c r="B47" s="3"/>
      <c r="C47" s="117" t="s">
        <v>29</v>
      </c>
      <c r="D47" s="117"/>
      <c r="E47" s="117"/>
      <c r="F47" s="117"/>
      <c r="G47" s="117"/>
      <c r="H47" s="117"/>
      <c r="I47" s="6"/>
      <c r="J47" s="119">
        <v>0</v>
      </c>
      <c r="K47" s="120"/>
      <c r="M47" s="115"/>
      <c r="N47" s="116"/>
      <c r="O47" s="9"/>
    </row>
    <row r="48" spans="2:15" x14ac:dyDescent="0.25">
      <c r="B48" s="3"/>
      <c r="C48" s="117"/>
      <c r="D48" s="117"/>
      <c r="E48" s="117"/>
      <c r="F48" s="117"/>
      <c r="G48" s="117"/>
      <c r="H48" s="117"/>
      <c r="O48" s="9"/>
    </row>
    <row r="49" spans="2:15" x14ac:dyDescent="0.25">
      <c r="B49" s="3"/>
      <c r="C49" s="117"/>
      <c r="D49" s="117"/>
      <c r="E49" s="117"/>
      <c r="F49" s="117"/>
      <c r="G49" s="117"/>
      <c r="H49" s="117"/>
      <c r="O49" s="9"/>
    </row>
    <row r="50" spans="2:15" ht="15.75" thickBot="1" x14ac:dyDescent="0.3">
      <c r="B50" s="18"/>
      <c r="C50" s="19"/>
      <c r="D50" s="19"/>
      <c r="E50" s="19"/>
      <c r="F50" s="19"/>
      <c r="G50" s="19"/>
      <c r="H50" s="19"/>
      <c r="I50" s="19"/>
      <c r="J50" s="19"/>
      <c r="K50" s="19"/>
      <c r="L50" s="19"/>
      <c r="M50" s="19"/>
      <c r="N50" s="19"/>
      <c r="O50" s="20"/>
    </row>
    <row r="51" spans="2:15" ht="15.75" thickTop="1" x14ac:dyDescent="0.25"/>
    <row r="52" spans="2:15" x14ac:dyDescent="0.25"/>
    <row r="53" spans="2:15" x14ac:dyDescent="0.25"/>
  </sheetData>
  <sheetProtection algorithmName="SHA-512" hashValue="vC58NOVJdLX5yzVM0Syyjy/Hsz84A0NCvQCf155FUoJzj9UpYGB2Ar9XI/V4r1heT+a78mW9gYiCV/OrKdC4fA==" saltValue="Y/udEpt9avwIYVqQLihzOw==" spinCount="100000" sheet="1" selectLockedCells="1"/>
  <mergeCells count="48">
    <mergeCell ref="K7:M9"/>
    <mergeCell ref="J43:K43"/>
    <mergeCell ref="J47:K47"/>
    <mergeCell ref="M10:N11"/>
    <mergeCell ref="M12:N12"/>
    <mergeCell ref="M13:N13"/>
    <mergeCell ref="M14:N14"/>
    <mergeCell ref="M15:N15"/>
    <mergeCell ref="M27:N27"/>
    <mergeCell ref="M16:N16"/>
    <mergeCell ref="M17:N17"/>
    <mergeCell ref="M18:N18"/>
    <mergeCell ref="M19:N19"/>
    <mergeCell ref="M25:N25"/>
    <mergeCell ref="M26:N26"/>
    <mergeCell ref="J34:K34"/>
    <mergeCell ref="J35:K35"/>
    <mergeCell ref="J39:K39"/>
    <mergeCell ref="J41:K41"/>
    <mergeCell ref="J42:K42"/>
    <mergeCell ref="J33:K33"/>
    <mergeCell ref="C19:H19"/>
    <mergeCell ref="J21:K21"/>
    <mergeCell ref="C25:H25"/>
    <mergeCell ref="C26:H26"/>
    <mergeCell ref="J18:K18"/>
    <mergeCell ref="J19:K19"/>
    <mergeCell ref="J10:K10"/>
    <mergeCell ref="C12:H12"/>
    <mergeCell ref="C13:H13"/>
    <mergeCell ref="C14:H14"/>
    <mergeCell ref="C15:H15"/>
    <mergeCell ref="M47:N47"/>
    <mergeCell ref="C47:H49"/>
    <mergeCell ref="C16:H16"/>
    <mergeCell ref="C17:H17"/>
    <mergeCell ref="J12:K12"/>
    <mergeCell ref="J13:K13"/>
    <mergeCell ref="J14:K14"/>
    <mergeCell ref="J15:K15"/>
    <mergeCell ref="J16:K16"/>
    <mergeCell ref="J17:K17"/>
    <mergeCell ref="C27:H27"/>
    <mergeCell ref="J25:K25"/>
    <mergeCell ref="J26:K26"/>
    <mergeCell ref="J27:K27"/>
    <mergeCell ref="J29:K29"/>
    <mergeCell ref="C18:H18"/>
  </mergeCells>
  <dataValidations count="3">
    <dataValidation type="decimal" allowBlank="1" showInputMessage="1" showErrorMessage="1" errorTitle="Input valid %" error="Enter a percentage between 0 and 100" sqref="J34:K34" xr:uid="{AEEF9383-11A1-43C5-BD8F-31B1F8D8B752}">
      <formula1>0</formula1>
      <formula2>1</formula2>
    </dataValidation>
    <dataValidation type="list" allowBlank="1" showInputMessage="1" showErrorMessage="1" sqref="J39:K39" xr:uid="{1C985B6A-FE32-42BF-9C9D-E2E33F61AE1E}">
      <formula1>RNRB_toggle</formula1>
    </dataValidation>
    <dataValidation type="decimal" allowBlank="1" showInputMessage="1" showErrorMessage="1" errorTitle="Input valid percentage" error="Enter a percentage between 0 and 100" sqref="J42:K42" xr:uid="{BBB6FC7B-4D25-4515-A037-69175A50A69A}">
      <formula1>0</formula1>
      <formula2>1</formula2>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5BEA-1627-4A2A-A2E4-A0E5BEF7A441}">
  <sheetPr codeName="Sheet2"/>
  <dimension ref="A1:AF39"/>
  <sheetViews>
    <sheetView showGridLines="0" showRowColHeaders="0" workbookViewId="0">
      <selection activeCell="C12" sqref="C12"/>
    </sheetView>
  </sheetViews>
  <sheetFormatPr defaultColWidth="0" defaultRowHeight="15" zeroHeight="1" x14ac:dyDescent="0.25"/>
  <cols>
    <col min="1" max="2" width="9.140625" customWidth="1"/>
    <col min="3" max="3" width="14.7109375" customWidth="1"/>
    <col min="4" max="4" width="11.7109375" customWidth="1"/>
    <col min="5" max="5" width="18.28515625" customWidth="1"/>
    <col min="6" max="6" width="14.28515625" customWidth="1"/>
    <col min="7" max="7" width="12.28515625" customWidth="1"/>
    <col min="8" max="8" width="14.7109375" customWidth="1"/>
    <col min="9" max="9" width="11.7109375" customWidth="1"/>
    <col min="10" max="10" width="18.28515625" customWidth="1"/>
    <col min="11" max="11" width="14.28515625" customWidth="1"/>
    <col min="12" max="14" width="9.140625" customWidth="1"/>
    <col min="15" max="16" width="9.140625" hidden="1" customWidth="1"/>
    <col min="17" max="17" width="10.7109375" hidden="1" customWidth="1"/>
    <col min="18" max="18" width="9.140625" hidden="1" customWidth="1"/>
    <col min="19" max="19" width="12.5703125" hidden="1" customWidth="1"/>
    <col min="20" max="20" width="11" hidden="1" customWidth="1"/>
    <col min="21" max="21" width="9.140625" hidden="1" customWidth="1"/>
    <col min="22" max="22" width="10.7109375" hidden="1" customWidth="1"/>
    <col min="23" max="23" width="12.7109375" hidden="1" customWidth="1"/>
    <col min="24" max="24" width="12.5703125" hidden="1" customWidth="1"/>
    <col min="25" max="25" width="9.140625" hidden="1" customWidth="1"/>
    <col min="26" max="26" width="11.140625" hidden="1" customWidth="1"/>
    <col min="27" max="27" width="11.7109375" hidden="1" customWidth="1"/>
    <col min="28" max="28" width="12.5703125" hidden="1" customWidth="1"/>
    <col min="29" max="29" width="9.140625" hidden="1" customWidth="1"/>
    <col min="30" max="30" width="10.85546875" hidden="1" customWidth="1"/>
    <col min="31" max="31" width="12.7109375" hidden="1" customWidth="1"/>
    <col min="32" max="32" width="11.5703125" hidden="1" customWidth="1"/>
    <col min="33" max="16384" width="9.140625" hidden="1"/>
  </cols>
  <sheetData>
    <row r="1" spans="2:32" x14ac:dyDescent="0.25"/>
    <row r="2" spans="2:32" ht="15.75" thickBot="1" x14ac:dyDescent="0.3"/>
    <row r="3" spans="2:32" ht="15.75" thickTop="1" x14ac:dyDescent="0.25">
      <c r="B3" s="1"/>
      <c r="C3" s="2"/>
      <c r="D3" s="2"/>
      <c r="E3" s="2"/>
      <c r="F3" s="2"/>
      <c r="G3" s="2"/>
      <c r="H3" s="2"/>
      <c r="I3" s="2"/>
      <c r="J3" s="2"/>
      <c r="K3" s="2"/>
      <c r="L3" s="2"/>
      <c r="M3" s="8"/>
      <c r="N3" s="3"/>
    </row>
    <row r="4" spans="2:32" x14ac:dyDescent="0.25">
      <c r="B4" s="3"/>
      <c r="M4" s="9"/>
    </row>
    <row r="5" spans="2:32" ht="21" x14ac:dyDescent="0.35">
      <c r="B5" s="3"/>
      <c r="D5" s="91" t="s">
        <v>30</v>
      </c>
      <c r="E5" s="91"/>
      <c r="F5" s="91"/>
      <c r="G5" s="91"/>
      <c r="H5" s="91"/>
      <c r="M5" s="9"/>
    </row>
    <row r="6" spans="2:32" x14ac:dyDescent="0.25">
      <c r="B6" s="3"/>
      <c r="M6" s="9"/>
    </row>
    <row r="7" spans="2:32" x14ac:dyDescent="0.25">
      <c r="B7" s="3"/>
      <c r="M7" s="9"/>
    </row>
    <row r="8" spans="2:32" ht="17.25" customHeight="1" x14ac:dyDescent="0.25">
      <c r="B8" s="3"/>
      <c r="C8" s="4"/>
      <c r="D8" s="29">
        <f ca="1">TODAY()</f>
        <v>46218</v>
      </c>
      <c r="E8" s="29">
        <f ca="1">DATE(YEAR(D8)-7,MONTH(D8),DAY(D8))</f>
        <v>43661</v>
      </c>
      <c r="F8" s="4"/>
      <c r="G8" s="4"/>
      <c r="H8" s="83" t="s">
        <v>31</v>
      </c>
      <c r="I8" s="83"/>
      <c r="J8" s="136"/>
      <c r="K8" s="136"/>
      <c r="M8" s="9"/>
    </row>
    <row r="9" spans="2:32" ht="15" customHeight="1" x14ac:dyDescent="0.25">
      <c r="B9" s="3"/>
      <c r="M9" s="9"/>
    </row>
    <row r="10" spans="2:32" ht="15.75" x14ac:dyDescent="0.25">
      <c r="B10" s="3"/>
      <c r="C10" s="13" t="s">
        <v>32</v>
      </c>
      <c r="D10" s="13"/>
      <c r="E10" s="13"/>
      <c r="F10" s="13"/>
      <c r="G10" s="13"/>
      <c r="H10" s="138" t="s">
        <v>33</v>
      </c>
      <c r="I10" s="138"/>
      <c r="J10" s="138"/>
      <c r="K10" s="138"/>
      <c r="L10" s="138"/>
      <c r="M10" s="9"/>
      <c r="Q10" t="s">
        <v>34</v>
      </c>
      <c r="Z10" t="s">
        <v>35</v>
      </c>
    </row>
    <row r="11" spans="2:32" ht="30" customHeight="1" x14ac:dyDescent="0.25">
      <c r="B11" s="3"/>
      <c r="C11" s="14" t="s">
        <v>36</v>
      </c>
      <c r="D11" s="15" t="s">
        <v>37</v>
      </c>
      <c r="E11" s="80" t="s">
        <v>38</v>
      </c>
      <c r="F11" s="80" t="s">
        <v>39</v>
      </c>
      <c r="H11" s="14" t="s">
        <v>36</v>
      </c>
      <c r="I11" s="15" t="s">
        <v>37</v>
      </c>
      <c r="J11" s="80" t="s">
        <v>38</v>
      </c>
      <c r="K11" s="96" t="s">
        <v>40</v>
      </c>
      <c r="L11" s="96"/>
      <c r="M11" s="9"/>
      <c r="Q11" s="48" t="s">
        <v>41</v>
      </c>
      <c r="R11" s="49" t="s">
        <v>42</v>
      </c>
      <c r="S11" s="50" t="s">
        <v>43</v>
      </c>
      <c r="T11" s="50" t="s">
        <v>44</v>
      </c>
      <c r="U11" s="82" t="s">
        <v>45</v>
      </c>
      <c r="V11" s="82" t="s">
        <v>46</v>
      </c>
      <c r="W11" s="38" t="s">
        <v>47</v>
      </c>
      <c r="X11" s="38" t="s">
        <v>48</v>
      </c>
      <c r="Z11" s="48" t="s">
        <v>41</v>
      </c>
      <c r="AA11" s="49" t="s">
        <v>42</v>
      </c>
      <c r="AB11" s="50" t="s">
        <v>43</v>
      </c>
      <c r="AC11" s="82" t="s">
        <v>45</v>
      </c>
      <c r="AD11" s="82" t="s">
        <v>46</v>
      </c>
      <c r="AE11" s="38" t="s">
        <v>47</v>
      </c>
      <c r="AF11" s="38" t="s">
        <v>48</v>
      </c>
    </row>
    <row r="12" spans="2:32" x14ac:dyDescent="0.25">
      <c r="B12" s="34" t="str">
        <f>IF(C12="","",IFERROR(DATEDIF(C12,Results!F$11,"y"),0))</f>
        <v/>
      </c>
      <c r="C12" s="26"/>
      <c r="D12" s="27"/>
      <c r="E12" s="30"/>
      <c r="F12" s="24" t="str">
        <f>IF(C12="","",IFERROR(DATEDIF(C12,D$8,"y"),0))</f>
        <v/>
      </c>
      <c r="G12" s="25" t="str">
        <f>IF(F12="","",IF(F12&gt;=14,"Remove",""))</f>
        <v/>
      </c>
      <c r="H12" s="26"/>
      <c r="I12" s="27"/>
      <c r="J12" s="30"/>
      <c r="K12" s="137"/>
      <c r="L12" s="137"/>
      <c r="M12" s="35" t="str">
        <f>IF(H12="","",IFERROR(DATEDIF(H12,Results!F$11,"y"),0))</f>
        <v/>
      </c>
      <c r="Q12" s="37" t="str">
        <f>IF(C12="","",C12)</f>
        <v/>
      </c>
      <c r="R12" s="37" t="str">
        <f>IF(D12="","",D12)</f>
        <v/>
      </c>
      <c r="S12" s="46" t="str">
        <f t="shared" ref="S12:T27" si="0">IF(E12="","",E12)</f>
        <v/>
      </c>
      <c r="T12" s="51" t="str">
        <f t="shared" si="0"/>
        <v/>
      </c>
      <c r="U12" s="52">
        <f t="shared" ref="U12:U31" si="1">Liferate</f>
        <v>0.2</v>
      </c>
      <c r="V12" s="37" t="str">
        <f>IFERROR(DATE(YEAR(Q12)-7,MONTH(Q12),DAY(Q12)),"")</f>
        <v/>
      </c>
      <c r="W12" s="46">
        <f>SUMIFS(S$12:S$31,Q$12:Q$31,"&lt;"&amp;Q12,Q$12:Q$31,"&gt;"&amp;V12,R$12:R$31,"&lt;&gt;"&amp;"PET")</f>
        <v>0</v>
      </c>
      <c r="X12" s="46">
        <f t="shared" ref="X12:X31" si="2">IF(R12&lt;&gt;"CLT",0,MAX((S12-MAX(Current_NRB-W12,0)),0)*U12)</f>
        <v>0</v>
      </c>
      <c r="Z12" s="37" t="str">
        <f>IF(H12="","",H12)</f>
        <v/>
      </c>
      <c r="AA12" s="37" t="str">
        <f>IF(I12="","",I12)</f>
        <v/>
      </c>
      <c r="AB12" s="46" t="str">
        <f>IF(J12="","",J12)</f>
        <v/>
      </c>
      <c r="AC12" s="52">
        <f t="shared" ref="AC12:AC31" si="3">Liferate</f>
        <v>0.2</v>
      </c>
      <c r="AD12" s="37" t="str">
        <f>IFERROR(DATE(YEAR(Z12)-7,MONTH(Z12),DAY(Z12)),"")</f>
        <v/>
      </c>
      <c r="AE12" s="46">
        <f>SUMIFS(AB$12:AB$31,Z$12:Z$31,"&lt;"&amp;Z12,Z$12:Z$31,"&gt;"&amp;AD12,AA$12:AA$31,"&lt;&gt;"&amp;"PET")+SUMIFS(S$12:S$31,Q$12:Q$31,"&lt;"&amp;Z12,Q$12:Q$31,"&gt;"&amp;AD12,R$12:R$31,"&lt;&gt;"&amp;"PET")</f>
        <v>0</v>
      </c>
      <c r="AF12" s="46">
        <f t="shared" ref="AF12:AF31" si="4">IF(AA12&lt;&gt;"CLT",0,MAX((AB12-MAX(Current_NRB-AE12,0)),0)*AC12)</f>
        <v>0</v>
      </c>
    </row>
    <row r="13" spans="2:32" x14ac:dyDescent="0.25">
      <c r="B13" s="34" t="str">
        <f>IF(C13="","",IFERROR(DATEDIF(C13,Results!F$11,"y"),0))</f>
        <v/>
      </c>
      <c r="C13" s="26"/>
      <c r="D13" s="27"/>
      <c r="E13" s="30"/>
      <c r="F13" s="24" t="str">
        <f t="shared" ref="F13:F31" si="5">IF(C13="","",IFERROR(DATEDIF(C13,D$8,"y"),0))</f>
        <v/>
      </c>
      <c r="G13" s="25" t="str">
        <f t="shared" ref="G13:G31" si="6">IF(F13="","",IF(F13&gt;=14,"Remove",""))</f>
        <v/>
      </c>
      <c r="H13" s="26"/>
      <c r="I13" s="27"/>
      <c r="J13" s="30"/>
      <c r="K13" s="137"/>
      <c r="L13" s="137"/>
      <c r="M13" s="35" t="str">
        <f>IF(H13="","",IFERROR(DATEDIF(H13,Results!F$11,"y"),0))</f>
        <v/>
      </c>
      <c r="Q13" s="37" t="str">
        <f t="shared" ref="Q13:Q31" si="7">IF(C13="","",C13)</f>
        <v/>
      </c>
      <c r="R13" s="37" t="str">
        <f t="shared" ref="R13:T31" si="8">IF(D13="","",D13)</f>
        <v/>
      </c>
      <c r="S13" s="46" t="str">
        <f t="shared" si="0"/>
        <v/>
      </c>
      <c r="T13" s="51" t="str">
        <f t="shared" si="0"/>
        <v/>
      </c>
      <c r="U13" s="52">
        <f t="shared" si="1"/>
        <v>0.2</v>
      </c>
      <c r="V13" s="37" t="str">
        <f t="shared" ref="V13:V31" si="9">IFERROR(DATE(YEAR(Q13)-7,MONTH(Q13),DAY(Q13)),"")</f>
        <v/>
      </c>
      <c r="W13" s="46">
        <f>SUMIFS(S$12:S$31,Q$12:Q$31,"&lt;"&amp;Q13,Q$12:Q$31,"&gt;"&amp;V13,R$12:R$31,"&lt;&gt;"&amp;"PET")</f>
        <v>0</v>
      </c>
      <c r="X13" s="46">
        <f t="shared" si="2"/>
        <v>0</v>
      </c>
      <c r="Z13" s="37" t="str">
        <f t="shared" ref="Z13:Z31" si="10">IF(H13="","",H13)</f>
        <v/>
      </c>
      <c r="AA13" s="37" t="str">
        <f t="shared" ref="AA13:AA31" si="11">IF(I13="","",I13)</f>
        <v/>
      </c>
      <c r="AB13" s="46" t="str">
        <f t="shared" ref="AB13:AB31" si="12">IF(J13="","",J13)</f>
        <v/>
      </c>
      <c r="AC13" s="52">
        <f t="shared" si="3"/>
        <v>0.2</v>
      </c>
      <c r="AD13" s="37" t="str">
        <f t="shared" ref="AD13:AD31" si="13">IFERROR(DATE(YEAR(Z13)-7,MONTH(Z13),DAY(Z13)),"")</f>
        <v/>
      </c>
      <c r="AE13" s="46">
        <f t="shared" ref="AE13:AE31" si="14">SUMIFS(AB$12:AB$31,Z$12:Z$31,"&lt;"&amp;Z13,Z$12:Z$31,"&gt;"&amp;AD13,AA$12:AA$31,"&lt;&gt;"&amp;"PET")+SUMIFS(S$12:S$31,Q$12:Q$31,"&lt;"&amp;Z13,Q$12:Q$31,"&gt;"&amp;AD13,R$12:R$31,"&lt;&gt;"&amp;"PET")</f>
        <v>0</v>
      </c>
      <c r="AF13" s="46">
        <f t="shared" si="4"/>
        <v>0</v>
      </c>
    </row>
    <row r="14" spans="2:32" x14ac:dyDescent="0.25">
      <c r="B14" s="34" t="str">
        <f>IF(C14="","",IFERROR(DATEDIF(C14,Results!F$11,"y"),0))</f>
        <v/>
      </c>
      <c r="C14" s="26"/>
      <c r="D14" s="27"/>
      <c r="E14" s="30"/>
      <c r="F14" s="24" t="str">
        <f t="shared" si="5"/>
        <v/>
      </c>
      <c r="G14" s="25" t="str">
        <f t="shared" si="6"/>
        <v/>
      </c>
      <c r="H14" s="26"/>
      <c r="I14" s="27"/>
      <c r="J14" s="30"/>
      <c r="K14" s="137"/>
      <c r="L14" s="137"/>
      <c r="M14" s="35" t="str">
        <f>IF(H14="","",IFERROR(DATEDIF(H14,Results!F$11,"y"),0))</f>
        <v/>
      </c>
      <c r="Q14" s="37" t="str">
        <f t="shared" si="7"/>
        <v/>
      </c>
      <c r="R14" s="37" t="str">
        <f t="shared" si="8"/>
        <v/>
      </c>
      <c r="S14" s="46" t="str">
        <f t="shared" si="0"/>
        <v/>
      </c>
      <c r="T14" s="51" t="str">
        <f t="shared" si="0"/>
        <v/>
      </c>
      <c r="U14" s="52">
        <f t="shared" si="1"/>
        <v>0.2</v>
      </c>
      <c r="V14" s="37" t="str">
        <f t="shared" si="9"/>
        <v/>
      </c>
      <c r="W14" s="46">
        <f t="shared" ref="W14:W31" si="15">SUMIFS(S$12:S$31,Q$12:Q$31,"&lt;"&amp;Q14,Q$12:Q$31,"&gt;"&amp;V14,R$12:R$31,"&lt;&gt;"&amp;"PET")</f>
        <v>0</v>
      </c>
      <c r="X14" s="46">
        <f t="shared" si="2"/>
        <v>0</v>
      </c>
      <c r="Z14" s="37" t="str">
        <f t="shared" si="10"/>
        <v/>
      </c>
      <c r="AA14" s="37" t="str">
        <f t="shared" si="11"/>
        <v/>
      </c>
      <c r="AB14" s="46" t="str">
        <f t="shared" si="12"/>
        <v/>
      </c>
      <c r="AC14" s="52">
        <f t="shared" si="3"/>
        <v>0.2</v>
      </c>
      <c r="AD14" s="37" t="str">
        <f t="shared" si="13"/>
        <v/>
      </c>
      <c r="AE14" s="46">
        <f t="shared" si="14"/>
        <v>0</v>
      </c>
      <c r="AF14" s="46">
        <f t="shared" si="4"/>
        <v>0</v>
      </c>
    </row>
    <row r="15" spans="2:32" x14ac:dyDescent="0.25">
      <c r="B15" s="34" t="str">
        <f>IF(C15="","",IFERROR(DATEDIF(C15,Results!F$11,"y"),0))</f>
        <v/>
      </c>
      <c r="C15" s="26"/>
      <c r="D15" s="27"/>
      <c r="E15" s="30"/>
      <c r="F15" s="24" t="str">
        <f t="shared" si="5"/>
        <v/>
      </c>
      <c r="G15" s="25" t="str">
        <f t="shared" si="6"/>
        <v/>
      </c>
      <c r="H15" s="26"/>
      <c r="I15" s="27"/>
      <c r="J15" s="30"/>
      <c r="K15" s="137"/>
      <c r="L15" s="137"/>
      <c r="M15" s="35" t="str">
        <f>IF(H15="","",IFERROR(DATEDIF(H15,Results!F$11,"y"),0))</f>
        <v/>
      </c>
      <c r="Q15" s="37" t="str">
        <f t="shared" si="7"/>
        <v/>
      </c>
      <c r="R15" s="37" t="str">
        <f t="shared" si="8"/>
        <v/>
      </c>
      <c r="S15" s="46" t="str">
        <f t="shared" si="0"/>
        <v/>
      </c>
      <c r="T15" s="51" t="str">
        <f t="shared" si="0"/>
        <v/>
      </c>
      <c r="U15" s="52">
        <f t="shared" si="1"/>
        <v>0.2</v>
      </c>
      <c r="V15" s="37" t="str">
        <f t="shared" si="9"/>
        <v/>
      </c>
      <c r="W15" s="46">
        <f t="shared" si="15"/>
        <v>0</v>
      </c>
      <c r="X15" s="46">
        <f t="shared" si="2"/>
        <v>0</v>
      </c>
      <c r="Z15" s="37" t="str">
        <f t="shared" si="10"/>
        <v/>
      </c>
      <c r="AA15" s="37" t="str">
        <f t="shared" si="11"/>
        <v/>
      </c>
      <c r="AB15" s="46" t="str">
        <f t="shared" si="12"/>
        <v/>
      </c>
      <c r="AC15" s="52">
        <f t="shared" si="3"/>
        <v>0.2</v>
      </c>
      <c r="AD15" s="37" t="str">
        <f t="shared" si="13"/>
        <v/>
      </c>
      <c r="AE15" s="46">
        <f t="shared" si="14"/>
        <v>0</v>
      </c>
      <c r="AF15" s="46">
        <f t="shared" si="4"/>
        <v>0</v>
      </c>
    </row>
    <row r="16" spans="2:32" x14ac:dyDescent="0.25">
      <c r="B16" s="34" t="str">
        <f>IF(C16="","",IFERROR(DATEDIF(C16,Results!F$11,"y"),0))</f>
        <v/>
      </c>
      <c r="C16" s="26"/>
      <c r="D16" s="27"/>
      <c r="E16" s="30"/>
      <c r="F16" s="24" t="str">
        <f t="shared" si="5"/>
        <v/>
      </c>
      <c r="G16" s="25" t="str">
        <f t="shared" si="6"/>
        <v/>
      </c>
      <c r="H16" s="26"/>
      <c r="I16" s="27"/>
      <c r="J16" s="30"/>
      <c r="K16" s="137"/>
      <c r="L16" s="137"/>
      <c r="M16" s="35" t="str">
        <f>IF(H16="","",IFERROR(DATEDIF(H16,Results!F$11,"y"),0))</f>
        <v/>
      </c>
      <c r="Q16" s="37" t="str">
        <f t="shared" si="7"/>
        <v/>
      </c>
      <c r="R16" s="37" t="str">
        <f t="shared" si="8"/>
        <v/>
      </c>
      <c r="S16" s="46" t="str">
        <f t="shared" si="0"/>
        <v/>
      </c>
      <c r="T16" s="51" t="str">
        <f t="shared" si="0"/>
        <v/>
      </c>
      <c r="U16" s="52">
        <f t="shared" si="1"/>
        <v>0.2</v>
      </c>
      <c r="V16" s="37" t="str">
        <f t="shared" si="9"/>
        <v/>
      </c>
      <c r="W16" s="46">
        <f t="shared" si="15"/>
        <v>0</v>
      </c>
      <c r="X16" s="46">
        <f t="shared" si="2"/>
        <v>0</v>
      </c>
      <c r="Z16" s="37" t="str">
        <f t="shared" si="10"/>
        <v/>
      </c>
      <c r="AA16" s="37" t="str">
        <f t="shared" si="11"/>
        <v/>
      </c>
      <c r="AB16" s="46" t="str">
        <f t="shared" si="12"/>
        <v/>
      </c>
      <c r="AC16" s="52">
        <f t="shared" si="3"/>
        <v>0.2</v>
      </c>
      <c r="AD16" s="37" t="str">
        <f t="shared" si="13"/>
        <v/>
      </c>
      <c r="AE16" s="46">
        <f t="shared" si="14"/>
        <v>0</v>
      </c>
      <c r="AF16" s="46">
        <f t="shared" si="4"/>
        <v>0</v>
      </c>
    </row>
    <row r="17" spans="2:32" x14ac:dyDescent="0.25">
      <c r="B17" s="34" t="str">
        <f>IF(C17="","",IFERROR(DATEDIF(C17,Results!F$11,"y"),0))</f>
        <v/>
      </c>
      <c r="C17" s="26"/>
      <c r="D17" s="27"/>
      <c r="E17" s="30"/>
      <c r="F17" s="24" t="str">
        <f t="shared" si="5"/>
        <v/>
      </c>
      <c r="G17" s="25" t="str">
        <f t="shared" si="6"/>
        <v/>
      </c>
      <c r="H17" s="26"/>
      <c r="I17" s="27"/>
      <c r="J17" s="30"/>
      <c r="K17" s="137"/>
      <c r="L17" s="137"/>
      <c r="M17" s="35" t="str">
        <f>IF(H17="","",IFERROR(DATEDIF(H17,Results!F$11,"y"),0))</f>
        <v/>
      </c>
      <c r="Q17" s="37" t="str">
        <f t="shared" si="7"/>
        <v/>
      </c>
      <c r="R17" s="37" t="str">
        <f t="shared" si="8"/>
        <v/>
      </c>
      <c r="S17" s="46" t="str">
        <f t="shared" si="0"/>
        <v/>
      </c>
      <c r="T17" s="51" t="str">
        <f t="shared" si="0"/>
        <v/>
      </c>
      <c r="U17" s="52">
        <f t="shared" si="1"/>
        <v>0.2</v>
      </c>
      <c r="V17" s="37" t="str">
        <f t="shared" si="9"/>
        <v/>
      </c>
      <c r="W17" s="46">
        <f t="shared" si="15"/>
        <v>0</v>
      </c>
      <c r="X17" s="46">
        <f t="shared" si="2"/>
        <v>0</v>
      </c>
      <c r="Z17" s="37" t="str">
        <f t="shared" si="10"/>
        <v/>
      </c>
      <c r="AA17" s="37" t="str">
        <f t="shared" si="11"/>
        <v/>
      </c>
      <c r="AB17" s="46" t="str">
        <f t="shared" si="12"/>
        <v/>
      </c>
      <c r="AC17" s="52">
        <f t="shared" si="3"/>
        <v>0.2</v>
      </c>
      <c r="AD17" s="37" t="str">
        <f t="shared" si="13"/>
        <v/>
      </c>
      <c r="AE17" s="46">
        <f t="shared" si="14"/>
        <v>0</v>
      </c>
      <c r="AF17" s="46">
        <f t="shared" si="4"/>
        <v>0</v>
      </c>
    </row>
    <row r="18" spans="2:32" x14ac:dyDescent="0.25">
      <c r="B18" s="34" t="str">
        <f>IF(C18="","",IFERROR(DATEDIF(C18,Results!F$11,"y"),0))</f>
        <v/>
      </c>
      <c r="C18" s="26"/>
      <c r="D18" s="27"/>
      <c r="E18" s="30"/>
      <c r="F18" s="24" t="str">
        <f t="shared" si="5"/>
        <v/>
      </c>
      <c r="G18" s="25" t="str">
        <f t="shared" si="6"/>
        <v/>
      </c>
      <c r="H18" s="26"/>
      <c r="I18" s="27"/>
      <c r="J18" s="30"/>
      <c r="K18" s="137"/>
      <c r="L18" s="137"/>
      <c r="M18" s="35" t="str">
        <f>IF(H18="","",IFERROR(DATEDIF(H18,Results!F$11,"y"),0))</f>
        <v/>
      </c>
      <c r="Q18" s="37" t="str">
        <f t="shared" si="7"/>
        <v/>
      </c>
      <c r="R18" s="37" t="str">
        <f t="shared" si="8"/>
        <v/>
      </c>
      <c r="S18" s="46" t="str">
        <f t="shared" si="0"/>
        <v/>
      </c>
      <c r="T18" s="51" t="str">
        <f t="shared" si="0"/>
        <v/>
      </c>
      <c r="U18" s="52">
        <f t="shared" si="1"/>
        <v>0.2</v>
      </c>
      <c r="V18" s="37" t="str">
        <f t="shared" si="9"/>
        <v/>
      </c>
      <c r="W18" s="46">
        <f t="shared" si="15"/>
        <v>0</v>
      </c>
      <c r="X18" s="46">
        <f t="shared" si="2"/>
        <v>0</v>
      </c>
      <c r="Z18" s="37" t="str">
        <f t="shared" si="10"/>
        <v/>
      </c>
      <c r="AA18" s="37" t="str">
        <f t="shared" si="11"/>
        <v/>
      </c>
      <c r="AB18" s="46" t="str">
        <f t="shared" si="12"/>
        <v/>
      </c>
      <c r="AC18" s="52">
        <f t="shared" si="3"/>
        <v>0.2</v>
      </c>
      <c r="AD18" s="37" t="str">
        <f t="shared" si="13"/>
        <v/>
      </c>
      <c r="AE18" s="46">
        <f t="shared" si="14"/>
        <v>0</v>
      </c>
      <c r="AF18" s="46">
        <f t="shared" si="4"/>
        <v>0</v>
      </c>
    </row>
    <row r="19" spans="2:32" x14ac:dyDescent="0.25">
      <c r="B19" s="34" t="str">
        <f>IF(C19="","",IFERROR(DATEDIF(C19,Results!F$11,"y"),0))</f>
        <v/>
      </c>
      <c r="C19" s="26"/>
      <c r="D19" s="27"/>
      <c r="E19" s="30"/>
      <c r="F19" s="24" t="str">
        <f t="shared" si="5"/>
        <v/>
      </c>
      <c r="G19" s="25" t="str">
        <f t="shared" si="6"/>
        <v/>
      </c>
      <c r="H19" s="26"/>
      <c r="I19" s="27"/>
      <c r="J19" s="30"/>
      <c r="K19" s="137"/>
      <c r="L19" s="137"/>
      <c r="M19" s="35" t="str">
        <f>IF(H19="","",IFERROR(DATEDIF(H19,Results!F$11,"y"),0))</f>
        <v/>
      </c>
      <c r="Q19" s="37" t="str">
        <f t="shared" si="7"/>
        <v/>
      </c>
      <c r="R19" s="37" t="str">
        <f t="shared" si="8"/>
        <v/>
      </c>
      <c r="S19" s="46" t="str">
        <f t="shared" si="0"/>
        <v/>
      </c>
      <c r="T19" s="51" t="str">
        <f t="shared" si="0"/>
        <v/>
      </c>
      <c r="U19" s="52">
        <f t="shared" si="1"/>
        <v>0.2</v>
      </c>
      <c r="V19" s="37" t="str">
        <f t="shared" si="9"/>
        <v/>
      </c>
      <c r="W19" s="46">
        <f t="shared" si="15"/>
        <v>0</v>
      </c>
      <c r="X19" s="46">
        <f t="shared" si="2"/>
        <v>0</v>
      </c>
      <c r="Z19" s="37" t="str">
        <f t="shared" si="10"/>
        <v/>
      </c>
      <c r="AA19" s="37" t="str">
        <f t="shared" si="11"/>
        <v/>
      </c>
      <c r="AB19" s="46" t="str">
        <f t="shared" si="12"/>
        <v/>
      </c>
      <c r="AC19" s="52">
        <f t="shared" si="3"/>
        <v>0.2</v>
      </c>
      <c r="AD19" s="37" t="str">
        <f t="shared" si="13"/>
        <v/>
      </c>
      <c r="AE19" s="46">
        <f t="shared" si="14"/>
        <v>0</v>
      </c>
      <c r="AF19" s="46">
        <f t="shared" si="4"/>
        <v>0</v>
      </c>
    </row>
    <row r="20" spans="2:32" x14ac:dyDescent="0.25">
      <c r="B20" s="34" t="str">
        <f>IF(C20="","",IFERROR(DATEDIF(C20,Results!F$11,"y"),0))</f>
        <v/>
      </c>
      <c r="C20" s="26"/>
      <c r="D20" s="27"/>
      <c r="E20" s="30"/>
      <c r="F20" s="24" t="str">
        <f t="shared" si="5"/>
        <v/>
      </c>
      <c r="G20" s="25" t="str">
        <f t="shared" si="6"/>
        <v/>
      </c>
      <c r="H20" s="26"/>
      <c r="I20" s="27"/>
      <c r="J20" s="30"/>
      <c r="K20" s="137"/>
      <c r="L20" s="137"/>
      <c r="M20" s="35" t="str">
        <f>IF(H20="","",IFERROR(DATEDIF(H20,Results!F$11,"y"),0))</f>
        <v/>
      </c>
      <c r="Q20" s="37" t="str">
        <f t="shared" si="7"/>
        <v/>
      </c>
      <c r="R20" s="37" t="str">
        <f t="shared" si="8"/>
        <v/>
      </c>
      <c r="S20" s="46" t="str">
        <f t="shared" si="0"/>
        <v/>
      </c>
      <c r="T20" s="51" t="str">
        <f t="shared" si="0"/>
        <v/>
      </c>
      <c r="U20" s="52">
        <f t="shared" si="1"/>
        <v>0.2</v>
      </c>
      <c r="V20" s="37" t="str">
        <f t="shared" si="9"/>
        <v/>
      </c>
      <c r="W20" s="46">
        <f t="shared" si="15"/>
        <v>0</v>
      </c>
      <c r="X20" s="46">
        <f t="shared" si="2"/>
        <v>0</v>
      </c>
      <c r="Z20" s="37" t="str">
        <f t="shared" si="10"/>
        <v/>
      </c>
      <c r="AA20" s="37" t="str">
        <f t="shared" si="11"/>
        <v/>
      </c>
      <c r="AB20" s="46" t="str">
        <f t="shared" si="12"/>
        <v/>
      </c>
      <c r="AC20" s="52">
        <f t="shared" si="3"/>
        <v>0.2</v>
      </c>
      <c r="AD20" s="37" t="str">
        <f t="shared" si="13"/>
        <v/>
      </c>
      <c r="AE20" s="46">
        <f t="shared" si="14"/>
        <v>0</v>
      </c>
      <c r="AF20" s="46">
        <f t="shared" si="4"/>
        <v>0</v>
      </c>
    </row>
    <row r="21" spans="2:32" x14ac:dyDescent="0.25">
      <c r="B21" s="34" t="str">
        <f>IF(C21="","",IFERROR(DATEDIF(C21,Results!F$11,"y"),0))</f>
        <v/>
      </c>
      <c r="C21" s="26"/>
      <c r="D21" s="27"/>
      <c r="E21" s="30"/>
      <c r="F21" s="24" t="str">
        <f t="shared" si="5"/>
        <v/>
      </c>
      <c r="G21" s="25" t="str">
        <f t="shared" si="6"/>
        <v/>
      </c>
      <c r="H21" s="26"/>
      <c r="I21" s="27"/>
      <c r="J21" s="30"/>
      <c r="K21" s="137"/>
      <c r="L21" s="137"/>
      <c r="M21" s="35" t="str">
        <f>IF(H21="","",IFERROR(DATEDIF(H21,Results!F$11,"y"),0))</f>
        <v/>
      </c>
      <c r="Q21" s="37" t="str">
        <f t="shared" si="7"/>
        <v/>
      </c>
      <c r="R21" s="37" t="str">
        <f t="shared" si="8"/>
        <v/>
      </c>
      <c r="S21" s="46" t="str">
        <f t="shared" si="0"/>
        <v/>
      </c>
      <c r="T21" s="51" t="str">
        <f t="shared" si="0"/>
        <v/>
      </c>
      <c r="U21" s="52">
        <f t="shared" si="1"/>
        <v>0.2</v>
      </c>
      <c r="V21" s="37" t="str">
        <f t="shared" si="9"/>
        <v/>
      </c>
      <c r="W21" s="46">
        <f t="shared" si="15"/>
        <v>0</v>
      </c>
      <c r="X21" s="46">
        <f t="shared" si="2"/>
        <v>0</v>
      </c>
      <c r="Z21" s="37" t="str">
        <f t="shared" si="10"/>
        <v/>
      </c>
      <c r="AA21" s="37" t="str">
        <f t="shared" si="11"/>
        <v/>
      </c>
      <c r="AB21" s="46" t="str">
        <f t="shared" si="12"/>
        <v/>
      </c>
      <c r="AC21" s="52">
        <f t="shared" si="3"/>
        <v>0.2</v>
      </c>
      <c r="AD21" s="37" t="str">
        <f t="shared" si="13"/>
        <v/>
      </c>
      <c r="AE21" s="46">
        <f t="shared" si="14"/>
        <v>0</v>
      </c>
      <c r="AF21" s="46">
        <f t="shared" si="4"/>
        <v>0</v>
      </c>
    </row>
    <row r="22" spans="2:32" x14ac:dyDescent="0.25">
      <c r="B22" s="34" t="str">
        <f>IF(C22="","",IFERROR(DATEDIF(C22,Results!F$11,"y"),0))</f>
        <v/>
      </c>
      <c r="C22" s="26"/>
      <c r="D22" s="27"/>
      <c r="E22" s="30"/>
      <c r="F22" s="24" t="str">
        <f t="shared" si="5"/>
        <v/>
      </c>
      <c r="G22" s="25" t="str">
        <f t="shared" si="6"/>
        <v/>
      </c>
      <c r="H22" s="26"/>
      <c r="I22" s="27"/>
      <c r="J22" s="30"/>
      <c r="K22" s="137"/>
      <c r="L22" s="137"/>
      <c r="M22" s="35" t="str">
        <f>IF(H22="","",IFERROR(DATEDIF(H22,Results!F$11,"y"),0))</f>
        <v/>
      </c>
      <c r="Q22" s="37" t="str">
        <f t="shared" si="7"/>
        <v/>
      </c>
      <c r="R22" s="37" t="str">
        <f t="shared" si="8"/>
        <v/>
      </c>
      <c r="S22" s="46" t="str">
        <f t="shared" si="0"/>
        <v/>
      </c>
      <c r="T22" s="51" t="str">
        <f t="shared" si="0"/>
        <v/>
      </c>
      <c r="U22" s="52">
        <f t="shared" si="1"/>
        <v>0.2</v>
      </c>
      <c r="V22" s="37" t="str">
        <f t="shared" si="9"/>
        <v/>
      </c>
      <c r="W22" s="46">
        <f t="shared" si="15"/>
        <v>0</v>
      </c>
      <c r="X22" s="46">
        <f t="shared" si="2"/>
        <v>0</v>
      </c>
      <c r="Z22" s="37" t="str">
        <f t="shared" si="10"/>
        <v/>
      </c>
      <c r="AA22" s="37" t="str">
        <f t="shared" si="11"/>
        <v/>
      </c>
      <c r="AB22" s="46" t="str">
        <f t="shared" si="12"/>
        <v/>
      </c>
      <c r="AC22" s="52">
        <f t="shared" si="3"/>
        <v>0.2</v>
      </c>
      <c r="AD22" s="37" t="str">
        <f t="shared" si="13"/>
        <v/>
      </c>
      <c r="AE22" s="46">
        <f t="shared" si="14"/>
        <v>0</v>
      </c>
      <c r="AF22" s="46">
        <f t="shared" si="4"/>
        <v>0</v>
      </c>
    </row>
    <row r="23" spans="2:32" x14ac:dyDescent="0.25">
      <c r="B23" s="34" t="str">
        <f>IF(C23="","",IFERROR(DATEDIF(C23,Results!F$11,"y"),0))</f>
        <v/>
      </c>
      <c r="C23" s="26"/>
      <c r="D23" s="27"/>
      <c r="E23" s="30"/>
      <c r="F23" s="24" t="str">
        <f t="shared" si="5"/>
        <v/>
      </c>
      <c r="G23" s="25" t="str">
        <f t="shared" si="6"/>
        <v/>
      </c>
      <c r="H23" s="26"/>
      <c r="I23" s="27"/>
      <c r="J23" s="30"/>
      <c r="K23" s="137"/>
      <c r="L23" s="137"/>
      <c r="M23" s="35" t="str">
        <f>IF(H23="","",IFERROR(DATEDIF(H23,Results!F$11,"y"),0))</f>
        <v/>
      </c>
      <c r="Q23" s="37" t="str">
        <f t="shared" si="7"/>
        <v/>
      </c>
      <c r="R23" s="37" t="str">
        <f t="shared" si="8"/>
        <v/>
      </c>
      <c r="S23" s="46" t="str">
        <f t="shared" si="0"/>
        <v/>
      </c>
      <c r="T23" s="51" t="str">
        <f t="shared" si="0"/>
        <v/>
      </c>
      <c r="U23" s="52">
        <f t="shared" si="1"/>
        <v>0.2</v>
      </c>
      <c r="V23" s="37" t="str">
        <f t="shared" si="9"/>
        <v/>
      </c>
      <c r="W23" s="46">
        <f t="shared" si="15"/>
        <v>0</v>
      </c>
      <c r="X23" s="46">
        <f t="shared" si="2"/>
        <v>0</v>
      </c>
      <c r="Z23" s="37" t="str">
        <f t="shared" si="10"/>
        <v/>
      </c>
      <c r="AA23" s="37" t="str">
        <f t="shared" si="11"/>
        <v/>
      </c>
      <c r="AB23" s="46" t="str">
        <f t="shared" si="12"/>
        <v/>
      </c>
      <c r="AC23" s="52">
        <f t="shared" si="3"/>
        <v>0.2</v>
      </c>
      <c r="AD23" s="37" t="str">
        <f t="shared" si="13"/>
        <v/>
      </c>
      <c r="AE23" s="46">
        <f t="shared" si="14"/>
        <v>0</v>
      </c>
      <c r="AF23" s="46">
        <f t="shared" si="4"/>
        <v>0</v>
      </c>
    </row>
    <row r="24" spans="2:32" x14ac:dyDescent="0.25">
      <c r="B24" s="34" t="str">
        <f>IF(C24="","",IFERROR(DATEDIF(C24,Results!F$11,"y"),0))</f>
        <v/>
      </c>
      <c r="C24" s="26"/>
      <c r="D24" s="27"/>
      <c r="E24" s="30"/>
      <c r="F24" s="24" t="str">
        <f t="shared" si="5"/>
        <v/>
      </c>
      <c r="G24" s="25" t="str">
        <f t="shared" si="6"/>
        <v/>
      </c>
      <c r="H24" s="26"/>
      <c r="I24" s="27"/>
      <c r="J24" s="30"/>
      <c r="K24" s="137"/>
      <c r="L24" s="137"/>
      <c r="M24" s="35" t="str">
        <f>IF(H24="","",IFERROR(DATEDIF(H24,Results!F$11,"y"),0))</f>
        <v/>
      </c>
      <c r="Q24" s="37" t="str">
        <f t="shared" si="7"/>
        <v/>
      </c>
      <c r="R24" s="37" t="str">
        <f t="shared" si="8"/>
        <v/>
      </c>
      <c r="S24" s="46" t="str">
        <f t="shared" si="0"/>
        <v/>
      </c>
      <c r="T24" s="51" t="str">
        <f t="shared" si="0"/>
        <v/>
      </c>
      <c r="U24" s="52">
        <f t="shared" si="1"/>
        <v>0.2</v>
      </c>
      <c r="V24" s="37" t="str">
        <f t="shared" si="9"/>
        <v/>
      </c>
      <c r="W24" s="46">
        <f t="shared" si="15"/>
        <v>0</v>
      </c>
      <c r="X24" s="46">
        <f t="shared" si="2"/>
        <v>0</v>
      </c>
      <c r="Z24" s="37" t="str">
        <f t="shared" si="10"/>
        <v/>
      </c>
      <c r="AA24" s="37" t="str">
        <f t="shared" si="11"/>
        <v/>
      </c>
      <c r="AB24" s="46" t="str">
        <f t="shared" si="12"/>
        <v/>
      </c>
      <c r="AC24" s="52">
        <f t="shared" si="3"/>
        <v>0.2</v>
      </c>
      <c r="AD24" s="37" t="str">
        <f t="shared" si="13"/>
        <v/>
      </c>
      <c r="AE24" s="46">
        <f t="shared" si="14"/>
        <v>0</v>
      </c>
      <c r="AF24" s="46">
        <f t="shared" si="4"/>
        <v>0</v>
      </c>
    </row>
    <row r="25" spans="2:32" x14ac:dyDescent="0.25">
      <c r="B25" s="34" t="str">
        <f>IF(C25="","",IFERROR(DATEDIF(C25,Results!F$11,"y"),0))</f>
        <v/>
      </c>
      <c r="C25" s="26"/>
      <c r="D25" s="27"/>
      <c r="E25" s="30"/>
      <c r="F25" s="24" t="str">
        <f t="shared" si="5"/>
        <v/>
      </c>
      <c r="G25" s="25" t="str">
        <f t="shared" si="6"/>
        <v/>
      </c>
      <c r="H25" s="26"/>
      <c r="I25" s="27"/>
      <c r="J25" s="30"/>
      <c r="K25" s="137"/>
      <c r="L25" s="137"/>
      <c r="M25" s="35" t="str">
        <f>IF(H25="","",IFERROR(DATEDIF(H25,Results!F$11,"y"),0))</f>
        <v/>
      </c>
      <c r="Q25" s="37" t="str">
        <f t="shared" si="7"/>
        <v/>
      </c>
      <c r="R25" s="37" t="str">
        <f t="shared" si="8"/>
        <v/>
      </c>
      <c r="S25" s="46" t="str">
        <f t="shared" si="0"/>
        <v/>
      </c>
      <c r="T25" s="51" t="str">
        <f t="shared" si="0"/>
        <v/>
      </c>
      <c r="U25" s="52">
        <f t="shared" si="1"/>
        <v>0.2</v>
      </c>
      <c r="V25" s="37" t="str">
        <f t="shared" si="9"/>
        <v/>
      </c>
      <c r="W25" s="46">
        <f t="shared" si="15"/>
        <v>0</v>
      </c>
      <c r="X25" s="46">
        <f t="shared" si="2"/>
        <v>0</v>
      </c>
      <c r="Z25" s="37" t="str">
        <f t="shared" si="10"/>
        <v/>
      </c>
      <c r="AA25" s="37" t="str">
        <f t="shared" si="11"/>
        <v/>
      </c>
      <c r="AB25" s="46" t="str">
        <f t="shared" si="12"/>
        <v/>
      </c>
      <c r="AC25" s="52">
        <f t="shared" si="3"/>
        <v>0.2</v>
      </c>
      <c r="AD25" s="37" t="str">
        <f t="shared" si="13"/>
        <v/>
      </c>
      <c r="AE25" s="46">
        <f t="shared" si="14"/>
        <v>0</v>
      </c>
      <c r="AF25" s="46">
        <f t="shared" si="4"/>
        <v>0</v>
      </c>
    </row>
    <row r="26" spans="2:32" x14ac:dyDescent="0.25">
      <c r="B26" s="34" t="str">
        <f>IF(C26="","",IFERROR(DATEDIF(C26,Results!F$11,"y"),0))</f>
        <v/>
      </c>
      <c r="C26" s="26"/>
      <c r="D26" s="27"/>
      <c r="E26" s="30"/>
      <c r="F26" s="24" t="str">
        <f t="shared" si="5"/>
        <v/>
      </c>
      <c r="G26" s="25" t="str">
        <f t="shared" si="6"/>
        <v/>
      </c>
      <c r="H26" s="26"/>
      <c r="I26" s="27"/>
      <c r="J26" s="30"/>
      <c r="K26" s="137"/>
      <c r="L26" s="137"/>
      <c r="M26" s="35" t="str">
        <f>IF(H26="","",IFERROR(DATEDIF(H26,Results!F$11,"y"),0))</f>
        <v/>
      </c>
      <c r="Q26" s="37" t="str">
        <f t="shared" si="7"/>
        <v/>
      </c>
      <c r="R26" s="37" t="str">
        <f t="shared" si="8"/>
        <v/>
      </c>
      <c r="S26" s="46" t="str">
        <f t="shared" si="0"/>
        <v/>
      </c>
      <c r="T26" s="51" t="str">
        <f t="shared" si="0"/>
        <v/>
      </c>
      <c r="U26" s="52">
        <f t="shared" si="1"/>
        <v>0.2</v>
      </c>
      <c r="V26" s="37" t="str">
        <f t="shared" si="9"/>
        <v/>
      </c>
      <c r="W26" s="46">
        <f t="shared" si="15"/>
        <v>0</v>
      </c>
      <c r="X26" s="46">
        <f t="shared" si="2"/>
        <v>0</v>
      </c>
      <c r="Z26" s="37" t="str">
        <f t="shared" si="10"/>
        <v/>
      </c>
      <c r="AA26" s="37" t="str">
        <f t="shared" si="11"/>
        <v/>
      </c>
      <c r="AB26" s="46" t="str">
        <f t="shared" si="12"/>
        <v/>
      </c>
      <c r="AC26" s="52">
        <f t="shared" si="3"/>
        <v>0.2</v>
      </c>
      <c r="AD26" s="37" t="str">
        <f t="shared" si="13"/>
        <v/>
      </c>
      <c r="AE26" s="46">
        <f t="shared" si="14"/>
        <v>0</v>
      </c>
      <c r="AF26" s="46">
        <f t="shared" si="4"/>
        <v>0</v>
      </c>
    </row>
    <row r="27" spans="2:32" x14ac:dyDescent="0.25">
      <c r="B27" s="34" t="str">
        <f>IF(C27="","",IFERROR(DATEDIF(C27,Results!F$11,"y"),0))</f>
        <v/>
      </c>
      <c r="C27" s="26"/>
      <c r="D27" s="27"/>
      <c r="E27" s="30"/>
      <c r="F27" s="24" t="str">
        <f t="shared" si="5"/>
        <v/>
      </c>
      <c r="G27" s="25" t="str">
        <f t="shared" si="6"/>
        <v/>
      </c>
      <c r="H27" s="26"/>
      <c r="I27" s="27"/>
      <c r="J27" s="30"/>
      <c r="K27" s="137"/>
      <c r="L27" s="137"/>
      <c r="M27" s="35" t="str">
        <f>IF(H27="","",IFERROR(DATEDIF(H27,Results!F$11,"y"),0))</f>
        <v/>
      </c>
      <c r="Q27" s="37" t="str">
        <f t="shared" si="7"/>
        <v/>
      </c>
      <c r="R27" s="37" t="str">
        <f t="shared" si="8"/>
        <v/>
      </c>
      <c r="S27" s="46" t="str">
        <f t="shared" si="0"/>
        <v/>
      </c>
      <c r="T27" s="51" t="str">
        <f t="shared" si="0"/>
        <v/>
      </c>
      <c r="U27" s="52">
        <f t="shared" si="1"/>
        <v>0.2</v>
      </c>
      <c r="V27" s="37" t="str">
        <f t="shared" si="9"/>
        <v/>
      </c>
      <c r="W27" s="46">
        <f t="shared" si="15"/>
        <v>0</v>
      </c>
      <c r="X27" s="46">
        <f t="shared" si="2"/>
        <v>0</v>
      </c>
      <c r="Z27" s="37" t="str">
        <f t="shared" si="10"/>
        <v/>
      </c>
      <c r="AA27" s="37" t="str">
        <f t="shared" si="11"/>
        <v/>
      </c>
      <c r="AB27" s="46" t="str">
        <f t="shared" si="12"/>
        <v/>
      </c>
      <c r="AC27" s="52">
        <f t="shared" si="3"/>
        <v>0.2</v>
      </c>
      <c r="AD27" s="37" t="str">
        <f t="shared" si="13"/>
        <v/>
      </c>
      <c r="AE27" s="46">
        <f t="shared" si="14"/>
        <v>0</v>
      </c>
      <c r="AF27" s="46">
        <f t="shared" si="4"/>
        <v>0</v>
      </c>
    </row>
    <row r="28" spans="2:32" x14ac:dyDescent="0.25">
      <c r="B28" s="34" t="str">
        <f>IF(C28="","",IFERROR(DATEDIF(C28,Results!F$11,"y"),0))</f>
        <v/>
      </c>
      <c r="C28" s="26"/>
      <c r="D28" s="27"/>
      <c r="E28" s="30"/>
      <c r="F28" s="24" t="str">
        <f t="shared" si="5"/>
        <v/>
      </c>
      <c r="G28" s="25" t="str">
        <f t="shared" si="6"/>
        <v/>
      </c>
      <c r="H28" s="26"/>
      <c r="I28" s="27"/>
      <c r="J28" s="30"/>
      <c r="K28" s="137"/>
      <c r="L28" s="137"/>
      <c r="M28" s="35" t="str">
        <f>IF(H28="","",IFERROR(DATEDIF(H28,Results!F$11,"y"),0))</f>
        <v/>
      </c>
      <c r="Q28" s="37" t="str">
        <f t="shared" si="7"/>
        <v/>
      </c>
      <c r="R28" s="37" t="str">
        <f t="shared" si="8"/>
        <v/>
      </c>
      <c r="S28" s="46" t="str">
        <f t="shared" si="8"/>
        <v/>
      </c>
      <c r="T28" s="51" t="str">
        <f t="shared" si="8"/>
        <v/>
      </c>
      <c r="U28" s="52">
        <f t="shared" si="1"/>
        <v>0.2</v>
      </c>
      <c r="V28" s="37" t="str">
        <f t="shared" si="9"/>
        <v/>
      </c>
      <c r="W28" s="46">
        <f t="shared" si="15"/>
        <v>0</v>
      </c>
      <c r="X28" s="46">
        <f t="shared" si="2"/>
        <v>0</v>
      </c>
      <c r="Z28" s="37" t="str">
        <f t="shared" si="10"/>
        <v/>
      </c>
      <c r="AA28" s="37" t="str">
        <f t="shared" si="11"/>
        <v/>
      </c>
      <c r="AB28" s="46" t="str">
        <f t="shared" si="12"/>
        <v/>
      </c>
      <c r="AC28" s="52">
        <f t="shared" si="3"/>
        <v>0.2</v>
      </c>
      <c r="AD28" s="37" t="str">
        <f t="shared" si="13"/>
        <v/>
      </c>
      <c r="AE28" s="46">
        <f t="shared" si="14"/>
        <v>0</v>
      </c>
      <c r="AF28" s="46">
        <f t="shared" si="4"/>
        <v>0</v>
      </c>
    </row>
    <row r="29" spans="2:32" x14ac:dyDescent="0.25">
      <c r="B29" s="34" t="str">
        <f>IF(C29="","",IFERROR(DATEDIF(C29,Results!F$11,"y"),0))</f>
        <v/>
      </c>
      <c r="C29" s="26"/>
      <c r="D29" s="27"/>
      <c r="E29" s="30"/>
      <c r="F29" s="24" t="str">
        <f t="shared" si="5"/>
        <v/>
      </c>
      <c r="G29" s="25" t="str">
        <f t="shared" si="6"/>
        <v/>
      </c>
      <c r="H29" s="26"/>
      <c r="I29" s="27"/>
      <c r="J29" s="30"/>
      <c r="K29" s="137"/>
      <c r="L29" s="137"/>
      <c r="M29" s="35" t="str">
        <f>IF(H29="","",IFERROR(DATEDIF(H29,Results!F$11,"y"),0))</f>
        <v/>
      </c>
      <c r="Q29" s="37" t="str">
        <f t="shared" si="7"/>
        <v/>
      </c>
      <c r="R29" s="37" t="str">
        <f t="shared" si="8"/>
        <v/>
      </c>
      <c r="S29" s="46" t="str">
        <f t="shared" si="8"/>
        <v/>
      </c>
      <c r="T29" s="51" t="str">
        <f t="shared" si="8"/>
        <v/>
      </c>
      <c r="U29" s="52">
        <f t="shared" si="1"/>
        <v>0.2</v>
      </c>
      <c r="V29" s="37" t="str">
        <f t="shared" si="9"/>
        <v/>
      </c>
      <c r="W29" s="46">
        <f t="shared" si="15"/>
        <v>0</v>
      </c>
      <c r="X29" s="46">
        <f t="shared" si="2"/>
        <v>0</v>
      </c>
      <c r="Z29" s="37" t="str">
        <f t="shared" si="10"/>
        <v/>
      </c>
      <c r="AA29" s="37" t="str">
        <f t="shared" si="11"/>
        <v/>
      </c>
      <c r="AB29" s="46" t="str">
        <f t="shared" si="12"/>
        <v/>
      </c>
      <c r="AC29" s="52">
        <f t="shared" si="3"/>
        <v>0.2</v>
      </c>
      <c r="AD29" s="37" t="str">
        <f t="shared" si="13"/>
        <v/>
      </c>
      <c r="AE29" s="46">
        <f t="shared" si="14"/>
        <v>0</v>
      </c>
      <c r="AF29" s="46">
        <f t="shared" si="4"/>
        <v>0</v>
      </c>
    </row>
    <row r="30" spans="2:32" x14ac:dyDescent="0.25">
      <c r="B30" s="34" t="str">
        <f>IF(C30="","",IFERROR(DATEDIF(C30,Results!F$11,"y"),0))</f>
        <v/>
      </c>
      <c r="C30" s="26"/>
      <c r="D30" s="27"/>
      <c r="E30" s="30"/>
      <c r="F30" s="24" t="str">
        <f t="shared" si="5"/>
        <v/>
      </c>
      <c r="G30" s="25" t="str">
        <f t="shared" si="6"/>
        <v/>
      </c>
      <c r="H30" s="26"/>
      <c r="I30" s="27"/>
      <c r="J30" s="30"/>
      <c r="K30" s="137"/>
      <c r="L30" s="137"/>
      <c r="M30" s="35" t="str">
        <f>IF(H30="","",IFERROR(DATEDIF(H30,Results!F$11,"y"),0))</f>
        <v/>
      </c>
      <c r="Q30" s="37" t="str">
        <f t="shared" si="7"/>
        <v/>
      </c>
      <c r="R30" s="37" t="str">
        <f t="shared" si="8"/>
        <v/>
      </c>
      <c r="S30" s="46" t="str">
        <f t="shared" si="8"/>
        <v/>
      </c>
      <c r="T30" s="51" t="str">
        <f t="shared" si="8"/>
        <v/>
      </c>
      <c r="U30" s="52">
        <f t="shared" si="1"/>
        <v>0.2</v>
      </c>
      <c r="V30" s="37" t="str">
        <f t="shared" si="9"/>
        <v/>
      </c>
      <c r="W30" s="46">
        <f t="shared" si="15"/>
        <v>0</v>
      </c>
      <c r="X30" s="46">
        <f t="shared" si="2"/>
        <v>0</v>
      </c>
      <c r="Z30" s="37" t="str">
        <f t="shared" si="10"/>
        <v/>
      </c>
      <c r="AA30" s="37" t="str">
        <f t="shared" si="11"/>
        <v/>
      </c>
      <c r="AB30" s="46" t="str">
        <f t="shared" si="12"/>
        <v/>
      </c>
      <c r="AC30" s="52">
        <f t="shared" si="3"/>
        <v>0.2</v>
      </c>
      <c r="AD30" s="37" t="str">
        <f t="shared" si="13"/>
        <v/>
      </c>
      <c r="AE30" s="46">
        <f t="shared" si="14"/>
        <v>0</v>
      </c>
      <c r="AF30" s="46">
        <f t="shared" si="4"/>
        <v>0</v>
      </c>
    </row>
    <row r="31" spans="2:32" ht="15.75" thickBot="1" x14ac:dyDescent="0.3">
      <c r="B31" s="34" t="str">
        <f>IF(C31="","",IFERROR(DATEDIF(C31,Results!F$11,"y"),0))</f>
        <v/>
      </c>
      <c r="C31" s="26"/>
      <c r="D31" s="27"/>
      <c r="E31" s="30"/>
      <c r="F31" s="24" t="str">
        <f t="shared" si="5"/>
        <v/>
      </c>
      <c r="G31" s="25" t="str">
        <f t="shared" si="6"/>
        <v/>
      </c>
      <c r="H31" s="26"/>
      <c r="I31" s="27"/>
      <c r="J31" s="30"/>
      <c r="K31" s="137"/>
      <c r="L31" s="137"/>
      <c r="M31" s="35" t="str">
        <f>IF(H31="","",IFERROR(DATEDIF(H31,Results!F$11,"y"),0))</f>
        <v/>
      </c>
      <c r="Q31" s="37" t="str">
        <f t="shared" si="7"/>
        <v/>
      </c>
      <c r="R31" s="37" t="str">
        <f t="shared" si="8"/>
        <v/>
      </c>
      <c r="S31" s="46" t="str">
        <f t="shared" si="8"/>
        <v/>
      </c>
      <c r="T31" s="51" t="str">
        <f t="shared" si="8"/>
        <v/>
      </c>
      <c r="U31" s="52">
        <f t="shared" si="1"/>
        <v>0.2</v>
      </c>
      <c r="V31" s="37" t="str">
        <f t="shared" si="9"/>
        <v/>
      </c>
      <c r="W31" s="46">
        <f t="shared" si="15"/>
        <v>0</v>
      </c>
      <c r="X31" s="46">
        <f t="shared" si="2"/>
        <v>0</v>
      </c>
      <c r="Z31" s="37" t="str">
        <f t="shared" si="10"/>
        <v/>
      </c>
      <c r="AA31" s="37" t="str">
        <f t="shared" si="11"/>
        <v/>
      </c>
      <c r="AB31" s="46" t="str">
        <f t="shared" si="12"/>
        <v/>
      </c>
      <c r="AC31" s="52">
        <f t="shared" si="3"/>
        <v>0.2</v>
      </c>
      <c r="AD31" s="37" t="str">
        <f t="shared" si="13"/>
        <v/>
      </c>
      <c r="AE31" s="46">
        <f t="shared" si="14"/>
        <v>0</v>
      </c>
      <c r="AF31" s="46">
        <f t="shared" si="4"/>
        <v>0</v>
      </c>
    </row>
    <row r="32" spans="2:32" ht="15.75" thickTop="1" x14ac:dyDescent="0.25">
      <c r="B32" s="3"/>
      <c r="D32" t="s">
        <v>15</v>
      </c>
      <c r="E32" s="31">
        <f>SUM(E12:E31)</f>
        <v>0</v>
      </c>
      <c r="I32" t="s">
        <v>15</v>
      </c>
      <c r="J32" s="31">
        <f>SUM(J12:J31)</f>
        <v>0</v>
      </c>
      <c r="M32" s="9"/>
    </row>
    <row r="33" spans="2:13" ht="15" customHeight="1" x14ac:dyDescent="0.25">
      <c r="B33" s="3"/>
      <c r="D33" s="28"/>
      <c r="E33" s="77"/>
      <c r="H33" s="139" t="str">
        <f>IF(J32&gt;('Estate overview'!J21-'Estate overview'!J12),"Insufficient money within estate (without selling main home) to make gifts","")</f>
        <v/>
      </c>
      <c r="I33" s="139"/>
      <c r="J33" s="139"/>
      <c r="K33" s="139"/>
      <c r="L33" s="139"/>
      <c r="M33" s="9"/>
    </row>
    <row r="34" spans="2:13" x14ac:dyDescent="0.25">
      <c r="B34" s="3"/>
      <c r="C34" s="134" t="str" cm="1">
        <f t="array" ref="C34">IF(OR(COUNTIF(C12:C31,C12:C31)&gt;1),"You have entered multiple gifts on the same day, please enter as a single total gift","")</f>
        <v/>
      </c>
      <c r="D34" s="134"/>
      <c r="E34" s="134"/>
      <c r="F34" s="134"/>
      <c r="H34" s="135" t="str" cm="1">
        <f t="array" ref="H34">IF(OR(COUNTIF(H12:H31,H12:H31)&gt;1),"You have entered multiple gifts on the same day, please enter as a single total gift","")</f>
        <v/>
      </c>
      <c r="I34" s="135"/>
      <c r="J34" s="135"/>
      <c r="K34" s="135"/>
      <c r="L34" s="135"/>
      <c r="M34" s="9"/>
    </row>
    <row r="35" spans="2:13" x14ac:dyDescent="0.25">
      <c r="B35" s="3"/>
      <c r="C35" s="134"/>
      <c r="D35" s="134"/>
      <c r="E35" s="134"/>
      <c r="F35" s="134"/>
      <c r="H35" s="135"/>
      <c r="I35" s="135"/>
      <c r="J35" s="135"/>
      <c r="K35" s="135"/>
      <c r="L35" s="135"/>
      <c r="M35" s="9"/>
    </row>
    <row r="36" spans="2:13" ht="15.75" thickBot="1" x14ac:dyDescent="0.3">
      <c r="B36" s="18"/>
      <c r="C36" s="19"/>
      <c r="D36" s="19"/>
      <c r="E36" s="19"/>
      <c r="F36" s="19"/>
      <c r="G36" s="19"/>
      <c r="H36" s="19"/>
      <c r="I36" s="19"/>
      <c r="J36" s="19"/>
      <c r="K36" s="19"/>
      <c r="L36" s="19"/>
      <c r="M36" s="20"/>
    </row>
    <row r="37" spans="2:13" ht="15.75" thickTop="1" x14ac:dyDescent="0.25"/>
    <row r="38" spans="2:13" x14ac:dyDescent="0.25"/>
    <row r="39" spans="2:13" x14ac:dyDescent="0.25"/>
  </sheetData>
  <sheetProtection algorithmName="SHA-512" hashValue="6NQu4kxEq9dT+hKCImS/u2cnwU/VxnBMwt5a3SPjScLHa6EL7xP0JlaVFGA7yINyYd/Egty7nNRIGeWHHL6RoQ==" saltValue="HwusyLonjrExER7US/7DEw==" spinCount="100000" sheet="1" selectLockedCells="1"/>
  <mergeCells count="27">
    <mergeCell ref="D5:H5"/>
    <mergeCell ref="K30:L30"/>
    <mergeCell ref="K31:L31"/>
    <mergeCell ref="K24:L24"/>
    <mergeCell ref="K25:L25"/>
    <mergeCell ref="K26:L26"/>
    <mergeCell ref="K27:L27"/>
    <mergeCell ref="K28:L28"/>
    <mergeCell ref="K29:L29"/>
    <mergeCell ref="K18:L18"/>
    <mergeCell ref="K19:L19"/>
    <mergeCell ref="K20:L20"/>
    <mergeCell ref="K21:L21"/>
    <mergeCell ref="K22:L22"/>
    <mergeCell ref="C34:F35"/>
    <mergeCell ref="H34:L35"/>
    <mergeCell ref="J8:K8"/>
    <mergeCell ref="K11:L11"/>
    <mergeCell ref="K23:L23"/>
    <mergeCell ref="K12:L12"/>
    <mergeCell ref="K13:L13"/>
    <mergeCell ref="K14:L14"/>
    <mergeCell ref="K15:L15"/>
    <mergeCell ref="K16:L16"/>
    <mergeCell ref="K17:L17"/>
    <mergeCell ref="H10:L10"/>
    <mergeCell ref="H33:L33"/>
  </mergeCells>
  <conditionalFormatting sqref="C12:C31">
    <cfRule type="expression" dxfId="12" priority="2">
      <formula>COUNTIF($C:$C,C12)&gt;1</formula>
    </cfRule>
  </conditionalFormatting>
  <conditionalFormatting sqref="E12:E31">
    <cfRule type="expression" dxfId="11" priority="3">
      <formula>$X12&gt;0</formula>
    </cfRule>
  </conditionalFormatting>
  <conditionalFormatting sqref="H12:H31">
    <cfRule type="expression" dxfId="10" priority="1">
      <formula>COUNTIF($H:$H,H12)&gt;1</formula>
    </cfRule>
  </conditionalFormatting>
  <conditionalFormatting sqref="J12">
    <cfRule type="expression" dxfId="9" priority="7">
      <formula>$AF$12&gt;0</formula>
    </cfRule>
  </conditionalFormatting>
  <conditionalFormatting sqref="J13">
    <cfRule type="expression" dxfId="8" priority="6">
      <formula>$AF$13&gt;0</formula>
    </cfRule>
  </conditionalFormatting>
  <conditionalFormatting sqref="J14:J31">
    <cfRule type="expression" dxfId="7" priority="4">
      <formula>$AF14&gt;0</formula>
    </cfRule>
  </conditionalFormatting>
  <dataValidations count="3">
    <dataValidation type="list" allowBlank="1" showInputMessage="1" showErrorMessage="1" sqref="D12:D31 I12:I31" xr:uid="{5C3D7A37-903D-4A01-989F-02BD83794CD3}">
      <formula1>Type_of_gift</formula1>
    </dataValidation>
    <dataValidation type="date" operator="lessThanOrEqual" allowBlank="1" showInputMessage="1" showErrorMessage="1" errorTitle="Date invalid" error="Enter a date in the past" sqref="C12:C31" xr:uid="{4C6ECDF8-9812-43BD-9F95-C6A1B78838E5}">
      <formula1>D$8</formula1>
    </dataValidation>
    <dataValidation type="date" operator="greaterThanOrEqual" allowBlank="1" showInputMessage="1" showErrorMessage="1" errorTitle="Proposed gift" error="The gift entered can't be in the past" sqref="H12:H31" xr:uid="{660A3C59-A3D5-4071-83E3-94CBCB2E046F}">
      <formula1>D$8</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625C3-E0CE-4843-B4D2-047DBFCD51E9}">
  <sheetPr codeName="Sheet3"/>
  <dimension ref="A1:K62"/>
  <sheetViews>
    <sheetView showGridLines="0" showRowColHeaders="0" zoomScaleNormal="100" workbookViewId="0">
      <selection activeCell="H8" sqref="H8:I9"/>
    </sheetView>
  </sheetViews>
  <sheetFormatPr defaultColWidth="0" defaultRowHeight="15" zeroHeight="1" x14ac:dyDescent="0.25"/>
  <cols>
    <col min="1" max="2" width="9.140625" customWidth="1"/>
    <col min="3" max="3" width="14.7109375" customWidth="1"/>
    <col min="4" max="4" width="12.28515625" customWidth="1"/>
    <col min="5" max="5" width="18.28515625" customWidth="1"/>
    <col min="6" max="6" width="14.28515625" customWidth="1"/>
    <col min="7" max="11" width="9.140625" customWidth="1"/>
    <col min="12" max="16384" width="9.140625" hidden="1"/>
  </cols>
  <sheetData>
    <row r="1" spans="2:10" x14ac:dyDescent="0.25"/>
    <row r="2" spans="2:10" ht="15.75" thickBot="1" x14ac:dyDescent="0.3"/>
    <row r="3" spans="2:10" ht="15.75" thickTop="1" x14ac:dyDescent="0.25">
      <c r="B3" s="1"/>
      <c r="C3" s="2"/>
      <c r="D3" s="2"/>
      <c r="E3" s="2"/>
      <c r="F3" s="2"/>
      <c r="G3" s="2"/>
      <c r="H3" s="2"/>
      <c r="I3" s="2"/>
      <c r="J3" s="8"/>
    </row>
    <row r="4" spans="2:10" x14ac:dyDescent="0.25">
      <c r="B4" s="3"/>
      <c r="J4" s="9"/>
    </row>
    <row r="5" spans="2:10" ht="21" x14ac:dyDescent="0.35">
      <c r="B5" s="3"/>
      <c r="D5" s="91" t="s">
        <v>49</v>
      </c>
      <c r="E5" s="91"/>
      <c r="F5" s="91"/>
      <c r="G5" s="91"/>
      <c r="H5" s="11"/>
      <c r="J5" s="9"/>
    </row>
    <row r="6" spans="2:10" x14ac:dyDescent="0.25">
      <c r="B6" s="3"/>
      <c r="J6" s="9"/>
    </row>
    <row r="7" spans="2:10" ht="15.75" thickBot="1" x14ac:dyDescent="0.3">
      <c r="B7" s="3"/>
      <c r="C7" s="98" t="s">
        <v>50</v>
      </c>
      <c r="D7" s="98"/>
      <c r="E7" s="99"/>
      <c r="F7" s="100"/>
      <c r="G7" s="101"/>
      <c r="J7" s="9"/>
    </row>
    <row r="8" spans="2:10" ht="16.5" thickTop="1" thickBot="1" x14ac:dyDescent="0.3">
      <c r="B8" s="3"/>
      <c r="C8" s="4" t="s">
        <v>51</v>
      </c>
      <c r="E8" s="71"/>
      <c r="F8" s="92">
        <f ca="1">'Data sheet'!P29</f>
        <v>0</v>
      </c>
      <c r="G8" s="93"/>
      <c r="H8" s="106" t="s">
        <v>52</v>
      </c>
      <c r="I8" s="107"/>
      <c r="J8" s="74"/>
    </row>
    <row r="9" spans="2:10" ht="15.75" thickBot="1" x14ac:dyDescent="0.3">
      <c r="B9" s="3"/>
      <c r="C9" s="4" t="s">
        <v>53</v>
      </c>
      <c r="E9" s="72"/>
      <c r="F9" s="94">
        <f ca="1">'Data sheet'!P31</f>
        <v>0</v>
      </c>
      <c r="G9" s="95"/>
      <c r="H9" s="106"/>
      <c r="I9" s="107"/>
      <c r="J9" s="74"/>
    </row>
    <row r="10" spans="2:10" ht="15.75" thickBot="1" x14ac:dyDescent="0.3">
      <c r="B10" s="3"/>
      <c r="C10" s="4"/>
      <c r="E10" s="6"/>
      <c r="F10" s="22"/>
      <c r="G10" s="23"/>
      <c r="J10" s="9"/>
    </row>
    <row r="11" spans="2:10" ht="15.75" thickBot="1" x14ac:dyDescent="0.3">
      <c r="B11" s="3"/>
      <c r="C11" s="4" t="s">
        <v>54</v>
      </c>
      <c r="D11" s="4"/>
      <c r="E11" s="6"/>
      <c r="F11" s="102"/>
      <c r="G11" s="103"/>
      <c r="J11" s="9"/>
    </row>
    <row r="12" spans="2:10" ht="15.75" thickBot="1" x14ac:dyDescent="0.3">
      <c r="B12" s="3"/>
      <c r="C12" t="s">
        <v>55</v>
      </c>
      <c r="E12" s="6"/>
      <c r="F12" s="104" t="str">
        <f>IF(F11="","Enter date of death above",IFERROR('Data sheet'!X29,0))</f>
        <v>Enter date of death above</v>
      </c>
      <c r="G12" s="105"/>
      <c r="H12" s="106" t="s">
        <v>52</v>
      </c>
      <c r="I12" s="107"/>
      <c r="J12" s="74"/>
    </row>
    <row r="13" spans="2:10" ht="15.75" thickBot="1" x14ac:dyDescent="0.3">
      <c r="B13" s="3"/>
      <c r="C13" t="s">
        <v>56</v>
      </c>
      <c r="E13" s="6"/>
      <c r="F13" s="94">
        <f>IFERROR('Data sheet'!X31,0)</f>
        <v>0</v>
      </c>
      <c r="G13" s="95"/>
      <c r="H13" s="106"/>
      <c r="I13" s="107"/>
      <c r="J13" s="74"/>
    </row>
    <row r="14" spans="2:10" x14ac:dyDescent="0.25">
      <c r="B14" s="3"/>
      <c r="J14" s="9"/>
    </row>
    <row r="15" spans="2:10" x14ac:dyDescent="0.25">
      <c r="B15" s="3"/>
      <c r="C15" s="4" t="s">
        <v>57</v>
      </c>
      <c r="J15" s="9"/>
    </row>
    <row r="16" spans="2:10" ht="30" x14ac:dyDescent="0.25">
      <c r="B16" s="3"/>
      <c r="C16" s="14" t="s">
        <v>36</v>
      </c>
      <c r="D16" s="15" t="s">
        <v>37</v>
      </c>
      <c r="E16" s="80" t="s">
        <v>38</v>
      </c>
      <c r="F16" s="96" t="s">
        <v>40</v>
      </c>
      <c r="G16" s="96"/>
      <c r="J16" s="9"/>
    </row>
    <row r="17" spans="2:10" x14ac:dyDescent="0.25">
      <c r="B17" s="3"/>
      <c r="C17" s="37" t="str">
        <f>IF('Gifting details'!H12="","",'Gifting details'!H12)</f>
        <v/>
      </c>
      <c r="D17" s="38" t="str">
        <f>IF('Gifting details'!I12="","",'Gifting details'!I12)</f>
        <v/>
      </c>
      <c r="E17" s="46" t="str">
        <f>IF('Gifting details'!J12="","",'Gifting details'!J12)</f>
        <v/>
      </c>
      <c r="F17" s="97" t="str">
        <f>IF('Gifting details'!K12="","",'Gifting details'!K12)</f>
        <v/>
      </c>
      <c r="G17" s="97"/>
      <c r="J17" s="9"/>
    </row>
    <row r="18" spans="2:10" x14ac:dyDescent="0.25">
      <c r="B18" s="3"/>
      <c r="C18" s="37" t="str">
        <f>IF('Gifting details'!H13="","",'Gifting details'!H13)</f>
        <v/>
      </c>
      <c r="D18" s="38" t="str">
        <f>IF('Gifting details'!I13="","",'Gifting details'!I13)</f>
        <v/>
      </c>
      <c r="E18" s="46" t="str">
        <f>IF('Gifting details'!J13="","",'Gifting details'!J13)</f>
        <v/>
      </c>
      <c r="F18" s="97" t="str">
        <f>IF('Gifting details'!K13="","",'Gifting details'!K13)</f>
        <v/>
      </c>
      <c r="G18" s="97"/>
      <c r="J18" s="9"/>
    </row>
    <row r="19" spans="2:10" x14ac:dyDescent="0.25">
      <c r="B19" s="3"/>
      <c r="C19" s="37" t="str">
        <f>IF('Gifting details'!H14="","",'Gifting details'!H14)</f>
        <v/>
      </c>
      <c r="D19" s="38" t="str">
        <f>IF('Gifting details'!I14="","",'Gifting details'!I14)</f>
        <v/>
      </c>
      <c r="E19" s="46" t="str">
        <f>IF('Gifting details'!J14="","",'Gifting details'!J14)</f>
        <v/>
      </c>
      <c r="F19" s="97" t="str">
        <f>IF('Gifting details'!K14="","",'Gifting details'!K14)</f>
        <v/>
      </c>
      <c r="G19" s="97"/>
      <c r="J19" s="9"/>
    </row>
    <row r="20" spans="2:10" x14ac:dyDescent="0.25">
      <c r="B20" s="3"/>
      <c r="C20" s="37" t="str">
        <f>IF('Gifting details'!H15="","",'Gifting details'!H15)</f>
        <v/>
      </c>
      <c r="D20" s="38" t="str">
        <f>IF('Gifting details'!I15="","",'Gifting details'!I15)</f>
        <v/>
      </c>
      <c r="E20" s="46" t="str">
        <f>IF('Gifting details'!J15="","",'Gifting details'!J15)</f>
        <v/>
      </c>
      <c r="F20" s="97" t="str">
        <f>IF('Gifting details'!K15="","",'Gifting details'!K15)</f>
        <v/>
      </c>
      <c r="G20" s="97"/>
      <c r="J20" s="9"/>
    </row>
    <row r="21" spans="2:10" x14ac:dyDescent="0.25">
      <c r="B21" s="3"/>
      <c r="C21" s="37" t="str">
        <f>IF('Gifting details'!H16="","",'Gifting details'!H16)</f>
        <v/>
      </c>
      <c r="D21" s="38" t="str">
        <f>IF('Gifting details'!I16="","",'Gifting details'!I16)</f>
        <v/>
      </c>
      <c r="E21" s="46" t="str">
        <f>IF('Gifting details'!J16="","",'Gifting details'!J16)</f>
        <v/>
      </c>
      <c r="F21" s="97" t="str">
        <f>IF('Gifting details'!K16="","",'Gifting details'!K16)</f>
        <v/>
      </c>
      <c r="G21" s="97"/>
      <c r="J21" s="9"/>
    </row>
    <row r="22" spans="2:10" x14ac:dyDescent="0.25">
      <c r="B22" s="3"/>
      <c r="C22" s="37" t="str">
        <f>IF('Gifting details'!H17="","",'Gifting details'!H17)</f>
        <v/>
      </c>
      <c r="D22" s="38" t="str">
        <f>IF('Gifting details'!I17="","",'Gifting details'!I17)</f>
        <v/>
      </c>
      <c r="E22" s="46" t="str">
        <f>IF('Gifting details'!J17="","",'Gifting details'!J17)</f>
        <v/>
      </c>
      <c r="F22" s="97" t="str">
        <f>IF('Gifting details'!K17="","",'Gifting details'!K17)</f>
        <v/>
      </c>
      <c r="G22" s="97"/>
      <c r="J22" s="9"/>
    </row>
    <row r="23" spans="2:10" x14ac:dyDescent="0.25">
      <c r="B23" s="3"/>
      <c r="C23" s="37" t="str">
        <f>IF('Gifting details'!H18="","",'Gifting details'!H18)</f>
        <v/>
      </c>
      <c r="D23" s="38" t="str">
        <f>IF('Gifting details'!I18="","",'Gifting details'!I18)</f>
        <v/>
      </c>
      <c r="E23" s="46" t="str">
        <f>IF('Gifting details'!J18="","",'Gifting details'!J18)</f>
        <v/>
      </c>
      <c r="F23" s="97" t="str">
        <f>IF('Gifting details'!K18="","",'Gifting details'!K18)</f>
        <v/>
      </c>
      <c r="G23" s="97"/>
      <c r="J23" s="9"/>
    </row>
    <row r="24" spans="2:10" x14ac:dyDescent="0.25">
      <c r="B24" s="3"/>
      <c r="C24" s="37" t="str">
        <f>IF('Gifting details'!H19="","",'Gifting details'!H19)</f>
        <v/>
      </c>
      <c r="D24" s="38" t="str">
        <f>IF('Gifting details'!I19="","",'Gifting details'!I19)</f>
        <v/>
      </c>
      <c r="E24" s="46" t="str">
        <f>IF('Gifting details'!J19="","",'Gifting details'!J19)</f>
        <v/>
      </c>
      <c r="F24" s="97" t="str">
        <f>IF('Gifting details'!K19="","",'Gifting details'!K19)</f>
        <v/>
      </c>
      <c r="G24" s="97"/>
      <c r="J24" s="9"/>
    </row>
    <row r="25" spans="2:10" x14ac:dyDescent="0.25">
      <c r="B25" s="3"/>
      <c r="C25" s="37" t="str">
        <f>IF('Gifting details'!H20="","",'Gifting details'!H20)</f>
        <v/>
      </c>
      <c r="D25" s="38" t="str">
        <f>IF('Gifting details'!I20="","",'Gifting details'!I20)</f>
        <v/>
      </c>
      <c r="E25" s="46" t="str">
        <f>IF('Gifting details'!J20="","",'Gifting details'!J20)</f>
        <v/>
      </c>
      <c r="F25" s="97" t="str">
        <f>IF('Gifting details'!K20="","",'Gifting details'!K20)</f>
        <v/>
      </c>
      <c r="G25" s="97"/>
      <c r="J25" s="9"/>
    </row>
    <row r="26" spans="2:10" x14ac:dyDescent="0.25">
      <c r="B26" s="3"/>
      <c r="C26" s="37" t="str">
        <f>IF('Gifting details'!H21="","",'Gifting details'!H21)</f>
        <v/>
      </c>
      <c r="D26" s="38" t="str">
        <f>IF('Gifting details'!I21="","",'Gifting details'!I21)</f>
        <v/>
      </c>
      <c r="E26" s="46" t="str">
        <f>IF('Gifting details'!J21="","",'Gifting details'!J21)</f>
        <v/>
      </c>
      <c r="F26" s="97" t="str">
        <f>IF('Gifting details'!K21="","",'Gifting details'!K21)</f>
        <v/>
      </c>
      <c r="G26" s="97"/>
      <c r="J26" s="9"/>
    </row>
    <row r="27" spans="2:10" x14ac:dyDescent="0.25">
      <c r="B27" s="3"/>
      <c r="C27" s="37" t="str">
        <f>IF('Gifting details'!H22="","",'Gifting details'!H22)</f>
        <v/>
      </c>
      <c r="D27" s="38" t="str">
        <f>IF('Gifting details'!I22="","",'Gifting details'!I22)</f>
        <v/>
      </c>
      <c r="E27" s="46" t="str">
        <f>IF('Gifting details'!J22="","",'Gifting details'!J22)</f>
        <v/>
      </c>
      <c r="F27" s="97" t="str">
        <f>IF('Gifting details'!K22="","",'Gifting details'!K22)</f>
        <v/>
      </c>
      <c r="G27" s="97"/>
      <c r="J27" s="9"/>
    </row>
    <row r="28" spans="2:10" x14ac:dyDescent="0.25">
      <c r="B28" s="3"/>
      <c r="C28" s="37" t="str">
        <f>IF('Gifting details'!H23="","",'Gifting details'!H23)</f>
        <v/>
      </c>
      <c r="D28" s="38" t="str">
        <f>IF('Gifting details'!I23="","",'Gifting details'!I23)</f>
        <v/>
      </c>
      <c r="E28" s="46" t="str">
        <f>IF('Gifting details'!J23="","",'Gifting details'!J23)</f>
        <v/>
      </c>
      <c r="F28" s="97" t="str">
        <f>IF('Gifting details'!K23="","",'Gifting details'!K23)</f>
        <v/>
      </c>
      <c r="G28" s="97"/>
      <c r="J28" s="9"/>
    </row>
    <row r="29" spans="2:10" x14ac:dyDescent="0.25">
      <c r="B29" s="3"/>
      <c r="C29" s="37" t="str">
        <f>IF('Gifting details'!H24="","",'Gifting details'!H24)</f>
        <v/>
      </c>
      <c r="D29" s="38" t="str">
        <f>IF('Gifting details'!I24="","",'Gifting details'!I24)</f>
        <v/>
      </c>
      <c r="E29" s="46" t="str">
        <f>IF('Gifting details'!J24="","",'Gifting details'!J24)</f>
        <v/>
      </c>
      <c r="F29" s="97" t="str">
        <f>IF('Gifting details'!K24="","",'Gifting details'!K24)</f>
        <v/>
      </c>
      <c r="G29" s="97"/>
      <c r="J29" s="9"/>
    </row>
    <row r="30" spans="2:10" x14ac:dyDescent="0.25">
      <c r="B30" s="3"/>
      <c r="C30" s="37" t="str">
        <f>IF('Gifting details'!H25="","",'Gifting details'!H25)</f>
        <v/>
      </c>
      <c r="D30" s="38" t="str">
        <f>IF('Gifting details'!I25="","",'Gifting details'!I25)</f>
        <v/>
      </c>
      <c r="E30" s="46" t="str">
        <f>IF('Gifting details'!J25="","",'Gifting details'!J25)</f>
        <v/>
      </c>
      <c r="F30" s="97" t="str">
        <f>IF('Gifting details'!K25="","",'Gifting details'!K25)</f>
        <v/>
      </c>
      <c r="G30" s="97"/>
      <c r="J30" s="9"/>
    </row>
    <row r="31" spans="2:10" x14ac:dyDescent="0.25">
      <c r="B31" s="3"/>
      <c r="C31" s="37" t="str">
        <f>IF('Gifting details'!H26="","",'Gifting details'!H26)</f>
        <v/>
      </c>
      <c r="D31" s="38" t="str">
        <f>IF('Gifting details'!I26="","",'Gifting details'!I26)</f>
        <v/>
      </c>
      <c r="E31" s="46" t="str">
        <f>IF('Gifting details'!J26="","",'Gifting details'!J26)</f>
        <v/>
      </c>
      <c r="F31" s="97" t="str">
        <f>IF('Gifting details'!K26="","",'Gifting details'!K26)</f>
        <v/>
      </c>
      <c r="G31" s="97"/>
      <c r="J31" s="9"/>
    </row>
    <row r="32" spans="2:10" x14ac:dyDescent="0.25">
      <c r="B32" s="3"/>
      <c r="C32" s="37" t="str">
        <f>IF('Gifting details'!H27="","",'Gifting details'!H27)</f>
        <v/>
      </c>
      <c r="D32" s="38" t="str">
        <f>IF('Gifting details'!I27="","",'Gifting details'!I27)</f>
        <v/>
      </c>
      <c r="E32" s="46" t="str">
        <f>IF('Gifting details'!J27="","",'Gifting details'!J27)</f>
        <v/>
      </c>
      <c r="F32" s="97" t="str">
        <f>IF('Gifting details'!K27="","",'Gifting details'!K27)</f>
        <v/>
      </c>
      <c r="G32" s="97"/>
      <c r="J32" s="9"/>
    </row>
    <row r="33" spans="2:10" x14ac:dyDescent="0.25">
      <c r="B33" s="3"/>
      <c r="C33" s="37" t="str">
        <f>IF('Gifting details'!H28="","",'Gifting details'!H28)</f>
        <v/>
      </c>
      <c r="D33" s="38" t="str">
        <f>IF('Gifting details'!I28="","",'Gifting details'!I28)</f>
        <v/>
      </c>
      <c r="E33" s="46" t="str">
        <f>IF('Gifting details'!J28="","",'Gifting details'!J28)</f>
        <v/>
      </c>
      <c r="F33" s="97" t="str">
        <f>IF('Gifting details'!K28="","",'Gifting details'!K28)</f>
        <v/>
      </c>
      <c r="G33" s="97"/>
      <c r="J33" s="9"/>
    </row>
    <row r="34" spans="2:10" x14ac:dyDescent="0.25">
      <c r="B34" s="3"/>
      <c r="C34" s="37" t="str">
        <f>IF('Gifting details'!H29="","",'Gifting details'!H29)</f>
        <v/>
      </c>
      <c r="D34" s="38" t="str">
        <f>IF('Gifting details'!I29="","",'Gifting details'!I29)</f>
        <v/>
      </c>
      <c r="E34" s="46" t="str">
        <f>IF('Gifting details'!J29="","",'Gifting details'!J29)</f>
        <v/>
      </c>
      <c r="F34" s="97" t="str">
        <f>IF('Gifting details'!K29="","",'Gifting details'!K29)</f>
        <v/>
      </c>
      <c r="G34" s="97"/>
      <c r="J34" s="9"/>
    </row>
    <row r="35" spans="2:10" x14ac:dyDescent="0.25">
      <c r="B35" s="3"/>
      <c r="C35" s="37" t="str">
        <f>IF('Gifting details'!H30="","",'Gifting details'!H30)</f>
        <v/>
      </c>
      <c r="D35" s="38" t="str">
        <f>IF('Gifting details'!I30="","",'Gifting details'!I30)</f>
        <v/>
      </c>
      <c r="E35" s="46" t="str">
        <f>IF('Gifting details'!J30="","",'Gifting details'!J30)</f>
        <v/>
      </c>
      <c r="F35" s="97" t="str">
        <f>IF('Gifting details'!K30="","",'Gifting details'!K30)</f>
        <v/>
      </c>
      <c r="G35" s="97"/>
      <c r="J35" s="9"/>
    </row>
    <row r="36" spans="2:10" x14ac:dyDescent="0.25">
      <c r="B36" s="3"/>
      <c r="C36" s="37" t="str">
        <f>IF('Gifting details'!H31="","",'Gifting details'!H31)</f>
        <v/>
      </c>
      <c r="D36" s="38" t="str">
        <f>IF('Gifting details'!I31="","",'Gifting details'!I31)</f>
        <v/>
      </c>
      <c r="E36" s="46" t="str">
        <f>IF('Gifting details'!J31="","",'Gifting details'!J31)</f>
        <v/>
      </c>
      <c r="F36" s="97" t="str">
        <f>IF('Gifting details'!K31="","",'Gifting details'!K31)</f>
        <v/>
      </c>
      <c r="G36" s="97"/>
      <c r="J36" s="9"/>
    </row>
    <row r="37" spans="2:10" x14ac:dyDescent="0.25">
      <c r="B37" s="3"/>
      <c r="J37" s="9"/>
    </row>
    <row r="38" spans="2:10" ht="15.75" thickBot="1" x14ac:dyDescent="0.3">
      <c r="B38" s="3"/>
      <c r="J38" s="9"/>
    </row>
    <row r="39" spans="2:10" ht="15.75" thickBot="1" x14ac:dyDescent="0.3">
      <c r="B39" s="3"/>
      <c r="C39" s="4" t="s">
        <v>58</v>
      </c>
      <c r="E39" s="6"/>
      <c r="F39" s="104" t="str">
        <f>IF(F11="","Enter date of death above",IFERROR('Data sheet'!AF29,0))</f>
        <v>Enter date of death above</v>
      </c>
      <c r="G39" s="105"/>
      <c r="H39" s="108" t="s">
        <v>52</v>
      </c>
      <c r="I39" s="109"/>
      <c r="J39" s="75"/>
    </row>
    <row r="40" spans="2:10" ht="15.75" thickBot="1" x14ac:dyDescent="0.3">
      <c r="B40" s="3"/>
      <c r="C40" s="4" t="s">
        <v>59</v>
      </c>
      <c r="E40" s="6"/>
      <c r="F40" s="94">
        <f>IFERROR('Data sheet'!AF31,0)</f>
        <v>0</v>
      </c>
      <c r="G40" s="95"/>
      <c r="H40" s="108"/>
      <c r="I40" s="109"/>
      <c r="J40" s="75"/>
    </row>
    <row r="41" spans="2:10" ht="15.75" thickBot="1" x14ac:dyDescent="0.3">
      <c r="B41" s="3"/>
      <c r="C41" s="4"/>
      <c r="J41" s="9"/>
    </row>
    <row r="42" spans="2:10" ht="15.75" thickBot="1" x14ac:dyDescent="0.3">
      <c r="B42" s="3"/>
      <c r="C42" s="4" t="s">
        <v>60</v>
      </c>
      <c r="E42" s="6"/>
      <c r="F42" s="94">
        <f>F13-F40</f>
        <v>0</v>
      </c>
      <c r="G42" s="95"/>
      <c r="J42" s="9"/>
    </row>
    <row r="43" spans="2:10" x14ac:dyDescent="0.25">
      <c r="B43" s="3"/>
      <c r="J43" s="9"/>
    </row>
    <row r="44" spans="2:10" ht="15.75" thickBot="1" x14ac:dyDescent="0.3">
      <c r="B44" s="18"/>
      <c r="C44" s="19"/>
      <c r="D44" s="19"/>
      <c r="E44" s="19"/>
      <c r="F44" s="19"/>
      <c r="G44" s="19"/>
      <c r="H44" s="19"/>
      <c r="I44" s="19"/>
      <c r="J44" s="20"/>
    </row>
    <row r="45" spans="2:10" ht="15.75" thickTop="1" x14ac:dyDescent="0.25"/>
    <row r="46" spans="2:10" x14ac:dyDescent="0.25"/>
    <row r="47" spans="2:10" x14ac:dyDescent="0.25">
      <c r="B47" s="113" t="s">
        <v>61</v>
      </c>
      <c r="C47" s="113"/>
      <c r="D47" s="113"/>
      <c r="E47" s="113"/>
      <c r="F47" s="113"/>
      <c r="G47" s="113"/>
      <c r="H47" s="113"/>
      <c r="I47" s="113"/>
      <c r="J47" s="113"/>
    </row>
    <row r="48" spans="2:10" x14ac:dyDescent="0.25">
      <c r="B48" s="113"/>
      <c r="C48" s="113"/>
      <c r="D48" s="113"/>
      <c r="E48" s="113"/>
      <c r="F48" s="113"/>
      <c r="G48" s="113"/>
      <c r="H48" s="113"/>
      <c r="I48" s="113"/>
      <c r="J48" s="113"/>
    </row>
    <row r="49" spans="2:10" x14ac:dyDescent="0.25">
      <c r="B49" s="113"/>
      <c r="C49" s="113"/>
      <c r="D49" s="113"/>
      <c r="E49" s="113"/>
      <c r="F49" s="113"/>
      <c r="G49" s="113"/>
      <c r="H49" s="113"/>
      <c r="I49" s="113"/>
      <c r="J49" s="113"/>
    </row>
    <row r="50" spans="2:10" ht="15" customHeight="1" x14ac:dyDescent="0.25">
      <c r="B50" s="110" t="s">
        <v>62</v>
      </c>
      <c r="C50" s="110"/>
      <c r="D50" s="110"/>
      <c r="E50" s="110"/>
      <c r="F50" s="110"/>
      <c r="G50" s="110"/>
      <c r="H50" s="110"/>
      <c r="I50" s="110"/>
      <c r="J50" s="110"/>
    </row>
    <row r="51" spans="2:10" x14ac:dyDescent="0.25">
      <c r="B51" s="110"/>
      <c r="C51" s="110"/>
      <c r="D51" s="110"/>
      <c r="E51" s="110"/>
      <c r="F51" s="110"/>
      <c r="G51" s="110"/>
      <c r="H51" s="110"/>
      <c r="I51" s="110"/>
      <c r="J51" s="110"/>
    </row>
    <row r="52" spans="2:10" x14ac:dyDescent="0.25">
      <c r="B52" s="110"/>
      <c r="C52" s="110"/>
      <c r="D52" s="110"/>
      <c r="E52" s="110"/>
      <c r="F52" s="110"/>
      <c r="G52" s="110"/>
      <c r="H52" s="110"/>
      <c r="I52" s="110"/>
      <c r="J52" s="110"/>
    </row>
    <row r="53" spans="2:10" x14ac:dyDescent="0.25">
      <c r="B53" s="114" t="s">
        <v>63</v>
      </c>
      <c r="C53" s="114"/>
      <c r="D53" s="114"/>
      <c r="E53" s="114"/>
      <c r="F53" s="114"/>
      <c r="G53" s="114"/>
      <c r="H53" s="114"/>
      <c r="I53" s="114"/>
      <c r="J53" s="114"/>
    </row>
    <row r="54" spans="2:10" x14ac:dyDescent="0.25">
      <c r="B54" s="114"/>
      <c r="C54" s="114"/>
      <c r="D54" s="114"/>
      <c r="E54" s="114"/>
      <c r="F54" s="114"/>
      <c r="G54" s="114"/>
      <c r="H54" s="114"/>
      <c r="I54" s="114"/>
      <c r="J54" s="114"/>
    </row>
    <row r="55" spans="2:10" x14ac:dyDescent="0.25"/>
    <row r="56" spans="2:10" x14ac:dyDescent="0.25">
      <c r="B56" s="110" t="s">
        <v>64</v>
      </c>
      <c r="C56" s="110"/>
      <c r="D56" s="110"/>
      <c r="E56" s="110"/>
      <c r="F56" s="110"/>
      <c r="G56" s="110"/>
      <c r="H56" s="110"/>
      <c r="I56" s="110"/>
      <c r="J56" s="110"/>
    </row>
    <row r="57" spans="2:10" x14ac:dyDescent="0.25">
      <c r="B57" s="110"/>
      <c r="C57" s="110"/>
      <c r="D57" s="110"/>
      <c r="E57" s="110"/>
      <c r="F57" s="110"/>
      <c r="G57" s="110"/>
      <c r="H57" s="110"/>
      <c r="I57" s="110"/>
      <c r="J57" s="110"/>
    </row>
    <row r="58" spans="2:10" ht="5.25" customHeight="1" x14ac:dyDescent="0.25">
      <c r="B58" s="81"/>
      <c r="C58" s="81"/>
      <c r="D58" s="81"/>
      <c r="E58" s="81"/>
      <c r="F58" s="81"/>
      <c r="G58" s="81"/>
      <c r="H58" s="81"/>
      <c r="I58" s="81"/>
      <c r="J58" s="81"/>
    </row>
    <row r="59" spans="2:10" x14ac:dyDescent="0.25">
      <c r="B59" s="111" t="s">
        <v>65</v>
      </c>
      <c r="C59" s="111"/>
      <c r="D59" s="111"/>
      <c r="E59" s="111"/>
      <c r="F59" s="111"/>
      <c r="G59" s="111"/>
      <c r="H59" s="111"/>
      <c r="I59" s="111"/>
      <c r="J59" s="111"/>
    </row>
    <row r="60" spans="2:10" ht="6" customHeight="1" x14ac:dyDescent="0.25"/>
    <row r="61" spans="2:10" x14ac:dyDescent="0.25">
      <c r="B61" s="112" t="s">
        <v>66</v>
      </c>
      <c r="C61" s="112"/>
      <c r="D61" s="112"/>
      <c r="E61" s="112"/>
      <c r="F61" s="112"/>
      <c r="G61" s="112"/>
      <c r="H61" s="112"/>
      <c r="I61" s="112"/>
      <c r="J61" s="112"/>
    </row>
    <row r="62" spans="2:10" x14ac:dyDescent="0.25"/>
  </sheetData>
  <sheetProtection algorithmName="SHA-512" hashValue="Yww2gjiC7dTFSB9nsMjB/O5tLImwEwpKl8jIyu1dJdRICm0mdci6/RtTSJ1BhQcSSRNGYrPXpWK+c/wJPefs3g==" saltValue="biN86Cr177Ryw+NUE/ywcg==" spinCount="100000" sheet="1" selectLockedCells="1"/>
  <mergeCells count="41">
    <mergeCell ref="B56:J57"/>
    <mergeCell ref="B59:J59"/>
    <mergeCell ref="B61:J61"/>
    <mergeCell ref="B47:J49"/>
    <mergeCell ref="B50:J52"/>
    <mergeCell ref="B53:J54"/>
    <mergeCell ref="H8:I9"/>
    <mergeCell ref="H12:I13"/>
    <mergeCell ref="H39:I40"/>
    <mergeCell ref="F39:G39"/>
    <mergeCell ref="F40:G40"/>
    <mergeCell ref="F29:G29"/>
    <mergeCell ref="F18:G18"/>
    <mergeCell ref="F19:G19"/>
    <mergeCell ref="F20:G20"/>
    <mergeCell ref="F21:G21"/>
    <mergeCell ref="F22:G22"/>
    <mergeCell ref="F23:G23"/>
    <mergeCell ref="F42:G42"/>
    <mergeCell ref="F11:G11"/>
    <mergeCell ref="F12:G12"/>
    <mergeCell ref="F13:G13"/>
    <mergeCell ref="F30:G30"/>
    <mergeCell ref="F31:G31"/>
    <mergeCell ref="F32:G32"/>
    <mergeCell ref="F33:G33"/>
    <mergeCell ref="F34:G34"/>
    <mergeCell ref="F35:G35"/>
    <mergeCell ref="F24:G24"/>
    <mergeCell ref="F25:G25"/>
    <mergeCell ref="F26:G26"/>
    <mergeCell ref="F27:G27"/>
    <mergeCell ref="F28:G28"/>
    <mergeCell ref="F36:G36"/>
    <mergeCell ref="D5:G5"/>
    <mergeCell ref="F8:G8"/>
    <mergeCell ref="F9:G9"/>
    <mergeCell ref="F16:G16"/>
    <mergeCell ref="F17:G17"/>
    <mergeCell ref="C7:D7"/>
    <mergeCell ref="E7:G7"/>
  </mergeCells>
  <hyperlinks>
    <hyperlink ref="H8:I9" location="'Current IHT calc'!A1000" display="See calculation" xr:uid="{39987F88-D56C-4616-B0EC-2E734549A7F9}"/>
    <hyperlink ref="H12:I13" location="'DoD IHT calc'!A1000" display="See calculation" xr:uid="{25750CEC-B2C0-4070-A275-1F51308FBA47}"/>
    <hyperlink ref="H39:I40" location="'DoD post gifting calc'!A1000" display="See calculation" xr:uid="{B3FBA34A-3ABC-420E-A6A6-C894EA5DF8D1}"/>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382BA-3F0C-444A-8AA4-7D48A14D114C}">
  <sheetPr codeName="Sheet4"/>
  <dimension ref="A1:AG112"/>
  <sheetViews>
    <sheetView workbookViewId="0">
      <selection activeCell="H25" sqref="H25"/>
    </sheetView>
  </sheetViews>
  <sheetFormatPr defaultRowHeight="15" x14ac:dyDescent="0.25"/>
  <cols>
    <col min="1" max="2" width="10.7109375" bestFit="1" customWidth="1"/>
    <col min="3" max="3" width="16.5703125" bestFit="1" customWidth="1"/>
    <col min="4" max="4" width="11.28515625" bestFit="1" customWidth="1"/>
    <col min="5" max="5" width="14.28515625" bestFit="1" customWidth="1"/>
    <col min="6" max="6" width="16.7109375" customWidth="1"/>
    <col min="7" max="7" width="10.7109375" bestFit="1" customWidth="1"/>
    <col min="8" max="8" width="12.5703125" bestFit="1" customWidth="1"/>
    <col min="10" max="10" width="11.5703125" customWidth="1"/>
    <col min="12" max="12" width="12.5703125" bestFit="1" customWidth="1"/>
    <col min="13" max="13" width="10.7109375" customWidth="1"/>
    <col min="14" max="14" width="9.42578125" customWidth="1"/>
    <col min="15" max="15" width="10.85546875" customWidth="1"/>
    <col min="16" max="16" width="14.140625" customWidth="1"/>
    <col min="17" max="17" width="12.5703125" bestFit="1" customWidth="1"/>
    <col min="18" max="18" width="11.28515625" customWidth="1"/>
    <col min="20" max="20" width="12.5703125" bestFit="1" customWidth="1"/>
    <col min="21" max="21" width="10.140625" customWidth="1"/>
    <col min="23" max="23" width="10.5703125" customWidth="1"/>
    <col min="24" max="24" width="15.140625" customWidth="1"/>
    <col min="25" max="25" width="11.5703125" bestFit="1" customWidth="1"/>
    <col min="26" max="26" width="12" customWidth="1"/>
    <col min="28" max="28" width="12.7109375" customWidth="1"/>
    <col min="29" max="29" width="10.5703125" customWidth="1"/>
    <col min="31" max="31" width="10.7109375" bestFit="1" customWidth="1"/>
    <col min="32" max="32" width="14.28515625" bestFit="1" customWidth="1"/>
    <col min="33" max="33" width="14.28515625" customWidth="1"/>
  </cols>
  <sheetData>
    <row r="1" spans="1:32" x14ac:dyDescent="0.25">
      <c r="A1" t="s">
        <v>67</v>
      </c>
      <c r="C1" t="s">
        <v>68</v>
      </c>
      <c r="D1" s="12">
        <f>SUM('Estate overview'!J12:K19)-'Estate overview'!J29</f>
        <v>766000</v>
      </c>
      <c r="E1" s="21">
        <f>SUM(X2:X9)-SUM(X12:X14)</f>
        <v>766000</v>
      </c>
      <c r="F1" s="21">
        <f>SUM(AF2:AF9)-'Gifting details'!J32-SUM(AF12:AF14)</f>
        <v>766000</v>
      </c>
      <c r="J1" s="4" t="s">
        <v>69</v>
      </c>
      <c r="R1" s="4" t="s">
        <v>70</v>
      </c>
      <c r="Z1" s="4" t="s">
        <v>71</v>
      </c>
    </row>
    <row r="2" spans="1:32" x14ac:dyDescent="0.25">
      <c r="A2" t="s">
        <v>25</v>
      </c>
      <c r="C2" t="s">
        <v>72</v>
      </c>
      <c r="D2">
        <f>MAX((D1-Taper_limit)/2,0)</f>
        <v>0</v>
      </c>
      <c r="E2">
        <f>MAX((E1-Taper_limit)/2,0)</f>
        <v>0</v>
      </c>
      <c r="F2">
        <f>MAX((F1-Taper_limit)/2,0)</f>
        <v>0</v>
      </c>
      <c r="J2" t="s">
        <v>7</v>
      </c>
      <c r="P2" s="21">
        <f>'Estate overview'!J12</f>
        <v>450000</v>
      </c>
      <c r="R2" t="s">
        <v>7</v>
      </c>
      <c r="X2" s="21">
        <f>IF('Estate overview'!M12="",'Estate overview'!J12,'Estate overview'!M12)</f>
        <v>450000</v>
      </c>
      <c r="Z2" t="s">
        <v>7</v>
      </c>
      <c r="AF2" s="21">
        <f>IF('Estate overview'!M12="",'Estate overview'!J12,'Estate overview'!M12)</f>
        <v>450000</v>
      </c>
    </row>
    <row r="3" spans="1:32" x14ac:dyDescent="0.25">
      <c r="A3" t="s">
        <v>73</v>
      </c>
      <c r="J3" t="s">
        <v>8</v>
      </c>
      <c r="P3" s="21">
        <f>'Estate overview'!J13</f>
        <v>0</v>
      </c>
      <c r="R3" t="s">
        <v>8</v>
      </c>
      <c r="X3" s="21">
        <f>IF('Estate overview'!M13="",'Estate overview'!J13,'Estate overview'!M13)</f>
        <v>0</v>
      </c>
      <c r="Z3" t="s">
        <v>8</v>
      </c>
      <c r="AF3" s="21">
        <f>IF('Estate overview'!M13="",'Estate overview'!J13,'Estate overview'!M13)</f>
        <v>0</v>
      </c>
    </row>
    <row r="4" spans="1:32" x14ac:dyDescent="0.25">
      <c r="A4">
        <v>175000</v>
      </c>
      <c r="J4" t="s">
        <v>9</v>
      </c>
      <c r="P4" s="21">
        <f>'Estate overview'!J14</f>
        <v>40000</v>
      </c>
      <c r="R4" t="s">
        <v>9</v>
      </c>
      <c r="X4" s="21">
        <f>IF('Estate overview'!M14="",'Estate overview'!J14,'Estate overview'!M14)</f>
        <v>40000</v>
      </c>
      <c r="Z4" t="s">
        <v>9</v>
      </c>
      <c r="AF4" s="21">
        <f>IF('Estate overview'!M14="",'Estate overview'!J14,'Estate overview'!M14)</f>
        <v>40000</v>
      </c>
    </row>
    <row r="5" spans="1:32" x14ac:dyDescent="0.25">
      <c r="A5" t="s">
        <v>74</v>
      </c>
      <c r="J5" t="s">
        <v>10</v>
      </c>
      <c r="P5" s="21">
        <f>'Estate overview'!J15</f>
        <v>0</v>
      </c>
      <c r="R5" t="s">
        <v>10</v>
      </c>
      <c r="X5" s="21">
        <f>IF('Estate overview'!M15="",'Estate overview'!J15,'Estate overview'!M15)</f>
        <v>0</v>
      </c>
      <c r="Z5" t="s">
        <v>10</v>
      </c>
      <c r="AF5" s="21">
        <f>IF('Estate overview'!M15="",'Estate overview'!J15,'Estate overview'!M15)</f>
        <v>0</v>
      </c>
    </row>
    <row r="6" spans="1:32" x14ac:dyDescent="0.25">
      <c r="A6">
        <v>325000</v>
      </c>
      <c r="J6" t="s">
        <v>11</v>
      </c>
      <c r="P6" s="21">
        <f>'Estate overview'!J16</f>
        <v>276000</v>
      </c>
      <c r="R6" t="s">
        <v>11</v>
      </c>
      <c r="X6" s="21">
        <f>IF('Estate overview'!M16="",'Estate overview'!J16,'Estate overview'!M16)</f>
        <v>276000</v>
      </c>
      <c r="Z6" t="s">
        <v>11</v>
      </c>
      <c r="AF6" s="21">
        <f>IF('Estate overview'!M16="",'Estate overview'!J16,'Estate overview'!M16)</f>
        <v>276000</v>
      </c>
    </row>
    <row r="7" spans="1:32" x14ac:dyDescent="0.25">
      <c r="A7" t="s">
        <v>75</v>
      </c>
      <c r="J7" t="s">
        <v>12</v>
      </c>
      <c r="P7" s="21">
        <f>'Estate overview'!J17</f>
        <v>0</v>
      </c>
      <c r="R7" t="s">
        <v>12</v>
      </c>
      <c r="X7" s="21">
        <f>IF('Estate overview'!M17="",'Estate overview'!J17,'Estate overview'!M17)</f>
        <v>0</v>
      </c>
      <c r="Z7" t="s">
        <v>12</v>
      </c>
      <c r="AF7" s="21">
        <f>IF('Estate overview'!M17="",'Estate overview'!J17,'Estate overview'!M17)</f>
        <v>0</v>
      </c>
    </row>
    <row r="8" spans="1:32" x14ac:dyDescent="0.25">
      <c r="A8">
        <v>2000000</v>
      </c>
      <c r="J8" t="s">
        <v>13</v>
      </c>
      <c r="P8" s="21">
        <f>'Estate overview'!J18</f>
        <v>0</v>
      </c>
      <c r="R8" t="s">
        <v>13</v>
      </c>
      <c r="X8" s="21">
        <f>IF('Estate overview'!M18="",'Estate overview'!J18,'Estate overview'!M18)</f>
        <v>0</v>
      </c>
      <c r="Z8" t="s">
        <v>13</v>
      </c>
      <c r="AF8" s="21">
        <f>IF('Estate overview'!M18="",'Estate overview'!J18,'Estate overview'!M18)</f>
        <v>0</v>
      </c>
    </row>
    <row r="9" spans="1:32" x14ac:dyDescent="0.25">
      <c r="A9" t="s">
        <v>76</v>
      </c>
      <c r="J9" t="s">
        <v>14</v>
      </c>
      <c r="P9" s="21">
        <f>'Estate overview'!J19</f>
        <v>0</v>
      </c>
      <c r="R9" t="s">
        <v>14</v>
      </c>
      <c r="X9" s="21">
        <f>IF('Estate overview'!M19="",'Estate overview'!J19,'Estate overview'!M19)</f>
        <v>0</v>
      </c>
      <c r="Z9" t="s">
        <v>14</v>
      </c>
      <c r="AF9" s="21">
        <f>IF('Estate overview'!M19="",'Estate overview'!J19,'Estate overview'!M19)</f>
        <v>0</v>
      </c>
    </row>
    <row r="10" spans="1:32" x14ac:dyDescent="0.25">
      <c r="A10">
        <v>0.4</v>
      </c>
      <c r="J10" t="s">
        <v>77</v>
      </c>
      <c r="P10" s="21">
        <f ca="1">SUMIFS(L$36:L$55,J$36:J$55,"&lt;"&amp;'Gifting details'!D8,J$36:J$55,"&gt;"&amp;'Gifting details'!E8)</f>
        <v>0</v>
      </c>
      <c r="R10" t="s">
        <v>77</v>
      </c>
      <c r="X10" s="21">
        <f>SUMIF('Gifting details'!B12:B31,"&lt;"&amp;7,'Gifting details'!E12:E31)</f>
        <v>0</v>
      </c>
      <c r="Z10" t="s">
        <v>77</v>
      </c>
      <c r="AF10" s="21">
        <f>SUMIF('Gifting details'!B12:B31,"&lt;"&amp;7,'Gifting details'!E12:E31)+SUMIF('Gifting details'!M12:M31,"&lt;"&amp;7,'Gifting details'!J12:J31)</f>
        <v>0</v>
      </c>
    </row>
    <row r="11" spans="1:32" x14ac:dyDescent="0.25">
      <c r="A11" t="s">
        <v>78</v>
      </c>
    </row>
    <row r="12" spans="1:32" x14ac:dyDescent="0.25">
      <c r="A12">
        <v>0.2</v>
      </c>
      <c r="J12" t="s">
        <v>79</v>
      </c>
      <c r="P12" s="21">
        <f>'Estate overview'!J25</f>
        <v>0</v>
      </c>
      <c r="R12" t="s">
        <v>79</v>
      </c>
      <c r="X12" s="21">
        <f>IF('Estate overview'!M25="",'Estate overview'!J25,'Estate overview'!M25)</f>
        <v>0</v>
      </c>
      <c r="Z12" t="s">
        <v>79</v>
      </c>
      <c r="AF12" s="21">
        <f>IF('Estate overview'!M25="",'Estate overview'!J25,'Estate overview'!M25)</f>
        <v>0</v>
      </c>
    </row>
    <row r="13" spans="1:32" x14ac:dyDescent="0.25">
      <c r="A13" t="s">
        <v>80</v>
      </c>
      <c r="J13" t="s">
        <v>81</v>
      </c>
      <c r="P13" s="21">
        <f>'Estate overview'!J26</f>
        <v>0</v>
      </c>
      <c r="R13" t="s">
        <v>81</v>
      </c>
      <c r="X13" s="21">
        <f>IF('Estate overview'!M26="",'Estate overview'!J26,'Estate overview'!M26)</f>
        <v>0</v>
      </c>
      <c r="Z13" t="s">
        <v>81</v>
      </c>
      <c r="AF13" s="21">
        <f>IF('Estate overview'!M26="",'Estate overview'!J26,'Estate overview'!M26)</f>
        <v>0</v>
      </c>
    </row>
    <row r="14" spans="1:32" x14ac:dyDescent="0.25">
      <c r="A14" t="s">
        <v>82</v>
      </c>
      <c r="J14" t="s">
        <v>19</v>
      </c>
      <c r="P14" s="21">
        <f>'Estate overview'!J27</f>
        <v>0</v>
      </c>
      <c r="R14" t="s">
        <v>19</v>
      </c>
      <c r="X14" s="21">
        <f>IF('Estate overview'!M27="",'Estate overview'!J27,'Estate overview'!M27)</f>
        <v>0</v>
      </c>
      <c r="Z14" t="s">
        <v>19</v>
      </c>
      <c r="AF14" s="21">
        <f>IF('Estate overview'!M27="",'Estate overview'!J27,'Estate overview'!M27)</f>
        <v>0</v>
      </c>
    </row>
    <row r="16" spans="1:32" x14ac:dyDescent="0.25">
      <c r="J16" t="s">
        <v>21</v>
      </c>
      <c r="P16" s="21">
        <f>'Estate overview'!J33</f>
        <v>325000</v>
      </c>
      <c r="R16" t="s">
        <v>83</v>
      </c>
      <c r="X16" s="21" t="e" cm="1">
        <f t="array" ref="X16">LOOKUP(2,1/((Results!$F11&gt;=$A19:$A112)*(Results!$F11&lt;=$B19:$B112)),$C19:$C112)</f>
        <v>#N/A</v>
      </c>
      <c r="Z16" t="s">
        <v>83</v>
      </c>
      <c r="AF16" s="21" t="e" cm="1">
        <f t="array" ref="AF16">LOOKUP(2,1/((Results!$F11&gt;=$A19:$A112)*(Results!$F11&lt;=$B19:$B112)),$C19:$C112)</f>
        <v>#N/A</v>
      </c>
    </row>
    <row r="17" spans="1:33" x14ac:dyDescent="0.25">
      <c r="A17" t="s">
        <v>84</v>
      </c>
      <c r="F17" t="s">
        <v>85</v>
      </c>
      <c r="H17" t="s">
        <v>86</v>
      </c>
      <c r="J17" t="s">
        <v>22</v>
      </c>
      <c r="P17" s="32">
        <f>'Estate overview'!J34</f>
        <v>1</v>
      </c>
      <c r="R17" t="s">
        <v>22</v>
      </c>
      <c r="X17" s="32">
        <f>'Estate overview'!$J34</f>
        <v>1</v>
      </c>
      <c r="Z17" t="s">
        <v>22</v>
      </c>
      <c r="AF17" s="32">
        <f>'Estate overview'!$J34</f>
        <v>1</v>
      </c>
    </row>
    <row r="18" spans="1:33" x14ac:dyDescent="0.25">
      <c r="A18" t="s">
        <v>87</v>
      </c>
      <c r="B18" t="s">
        <v>88</v>
      </c>
      <c r="C18" t="s">
        <v>89</v>
      </c>
      <c r="F18" s="17">
        <v>42831</v>
      </c>
      <c r="G18" s="17">
        <v>43195</v>
      </c>
      <c r="H18" s="21">
        <v>100000</v>
      </c>
      <c r="O18" t="s">
        <v>15</v>
      </c>
      <c r="P18" s="21">
        <f>'Estate overview'!J35</f>
        <v>650000</v>
      </c>
      <c r="W18" t="s">
        <v>15</v>
      </c>
      <c r="X18" s="21" t="e">
        <f>X16+(X16*X17)</f>
        <v>#N/A</v>
      </c>
      <c r="AE18" t="s">
        <v>15</v>
      </c>
      <c r="AF18" s="21" t="e">
        <f>AF16+(AF16*AF17)</f>
        <v>#N/A</v>
      </c>
    </row>
    <row r="19" spans="1:33" x14ac:dyDescent="0.25">
      <c r="A19" s="17">
        <v>31489</v>
      </c>
      <c r="B19" s="17">
        <v>31852</v>
      </c>
      <c r="C19" s="21">
        <v>71000</v>
      </c>
      <c r="F19" s="17">
        <v>43196</v>
      </c>
      <c r="G19" s="17">
        <v>43560</v>
      </c>
      <c r="H19" s="21">
        <v>125000</v>
      </c>
    </row>
    <row r="20" spans="1:33" x14ac:dyDescent="0.25">
      <c r="A20" s="17">
        <v>31853</v>
      </c>
      <c r="B20" s="17">
        <v>32216</v>
      </c>
      <c r="C20" s="21">
        <v>90000</v>
      </c>
      <c r="F20" s="17">
        <v>43561</v>
      </c>
      <c r="G20" s="17">
        <v>43926</v>
      </c>
      <c r="H20" s="21">
        <v>150000</v>
      </c>
      <c r="J20" t="s">
        <v>90</v>
      </c>
      <c r="P20" s="21">
        <f>'Estate overview'!J41</f>
        <v>175000</v>
      </c>
      <c r="R20" t="s">
        <v>91</v>
      </c>
      <c r="X20" s="21" t="e" cm="1">
        <f t="array" ref="X20">IF('Estate overview'!J39="No",0,LOOKUP(2,1/((Results!$F11&gt;=$F18:$F93)*(Results!$F11&lt;=$G18:$G93)),$H18:$H93))</f>
        <v>#N/A</v>
      </c>
      <c r="Z20" t="s">
        <v>91</v>
      </c>
      <c r="AF20" s="21" t="e" cm="1">
        <f t="array" ref="AF20">IF('Estate overview'!J39="No",0,LOOKUP(2,1/((Results!$F11&gt;=$F18:$F93)*(Results!$F11&lt;=$G18:$G93)),$H18:$H93))</f>
        <v>#N/A</v>
      </c>
    </row>
    <row r="21" spans="1:33" x14ac:dyDescent="0.25">
      <c r="A21" s="17">
        <v>32217</v>
      </c>
      <c r="B21" s="17">
        <v>32603</v>
      </c>
      <c r="C21" s="21">
        <v>110000</v>
      </c>
      <c r="F21" s="17">
        <v>43927</v>
      </c>
      <c r="G21" s="17">
        <v>46848</v>
      </c>
      <c r="H21" s="21">
        <v>175000</v>
      </c>
      <c r="J21" t="s">
        <v>27</v>
      </c>
      <c r="P21" s="32">
        <f>'Estate overview'!J42</f>
        <v>1</v>
      </c>
      <c r="R21" t="s">
        <v>27</v>
      </c>
      <c r="X21" s="32">
        <f>'Estate overview'!J42</f>
        <v>1</v>
      </c>
      <c r="Z21" t="s">
        <v>27</v>
      </c>
      <c r="AF21" s="32">
        <f>'Estate overview'!J42</f>
        <v>1</v>
      </c>
    </row>
    <row r="22" spans="1:33" x14ac:dyDescent="0.25">
      <c r="A22" s="17">
        <v>32604</v>
      </c>
      <c r="B22" s="17">
        <v>32968</v>
      </c>
      <c r="C22" s="21">
        <v>118000</v>
      </c>
      <c r="F22" s="17">
        <v>46849</v>
      </c>
      <c r="G22" s="17">
        <v>47213</v>
      </c>
      <c r="H22" s="21">
        <v>175000</v>
      </c>
      <c r="O22" t="s">
        <v>15</v>
      </c>
      <c r="P22" s="21">
        <f>'Estate overview'!J43</f>
        <v>350000</v>
      </c>
      <c r="W22" t="s">
        <v>15</v>
      </c>
      <c r="X22" s="39" t="e">
        <f>MIN(MAX(X20+(X20*X21)-E2,0),MAX(X2-X12,0))</f>
        <v>#N/A</v>
      </c>
      <c r="Y22" s="33"/>
      <c r="AE22" t="s">
        <v>15</v>
      </c>
      <c r="AF22" s="39" t="e">
        <f>MIN(MAX(AF20+(AF20*AF21)-F2,0),MAX(AF2-AF12,0))</f>
        <v>#N/A</v>
      </c>
    </row>
    <row r="23" spans="1:33" x14ac:dyDescent="0.25">
      <c r="A23" s="17">
        <v>32969</v>
      </c>
      <c r="B23" s="17">
        <v>33333</v>
      </c>
      <c r="C23" s="21">
        <v>128000</v>
      </c>
      <c r="F23" s="17">
        <v>47214</v>
      </c>
      <c r="G23" s="17">
        <v>47578</v>
      </c>
      <c r="H23" s="21">
        <v>175000</v>
      </c>
    </row>
    <row r="24" spans="1:33" x14ac:dyDescent="0.25">
      <c r="A24" s="17">
        <v>33334</v>
      </c>
      <c r="B24" s="17">
        <v>33672</v>
      </c>
      <c r="C24" s="21">
        <v>140000</v>
      </c>
      <c r="F24" s="17">
        <v>47579</v>
      </c>
      <c r="G24" s="17">
        <v>47943</v>
      </c>
      <c r="H24" s="21">
        <f>ROUNDUP(H23*102%,0)</f>
        <v>178500</v>
      </c>
      <c r="J24" s="117" t="s">
        <v>92</v>
      </c>
      <c r="K24" s="117"/>
      <c r="L24" s="117"/>
      <c r="M24" s="117"/>
      <c r="N24" s="117"/>
      <c r="O24" s="117"/>
      <c r="P24" s="21">
        <f>'Estate overview'!J47</f>
        <v>0</v>
      </c>
      <c r="R24" s="117" t="s">
        <v>92</v>
      </c>
      <c r="S24" s="117"/>
      <c r="T24" s="117"/>
      <c r="U24" s="117"/>
      <c r="V24" s="117"/>
      <c r="W24" s="117"/>
      <c r="X24" s="21">
        <f>IF('Estate overview'!M47="",'Estate overview'!J47,'Estate overview'!M47)</f>
        <v>0</v>
      </c>
      <c r="Z24" s="117" t="s">
        <v>92</v>
      </c>
      <c r="AA24" s="117"/>
      <c r="AB24" s="117"/>
      <c r="AC24" s="117"/>
      <c r="AD24" s="117"/>
      <c r="AE24" s="117"/>
      <c r="AF24" s="21">
        <f>IF('Estate overview'!M47="",'Estate overview'!J47,'Estate overview'!M47)</f>
        <v>0</v>
      </c>
    </row>
    <row r="25" spans="1:33" x14ac:dyDescent="0.25">
      <c r="A25" s="17">
        <v>33673</v>
      </c>
      <c r="B25" s="17">
        <v>34794</v>
      </c>
      <c r="C25" s="21">
        <v>150000</v>
      </c>
      <c r="F25" s="17">
        <v>47944</v>
      </c>
      <c r="G25" s="17">
        <v>48309</v>
      </c>
      <c r="H25" s="21">
        <f t="shared" ref="H25:H88" si="0">ROUNDUP(H24*102%,0)</f>
        <v>182070</v>
      </c>
      <c r="J25" s="117"/>
      <c r="K25" s="117"/>
      <c r="L25" s="117"/>
      <c r="M25" s="117"/>
      <c r="N25" s="117"/>
      <c r="O25" s="117"/>
      <c r="R25" s="117"/>
      <c r="S25" s="117"/>
      <c r="T25" s="117"/>
      <c r="U25" s="117"/>
      <c r="V25" s="117"/>
      <c r="W25" s="117"/>
      <c r="Z25" s="117"/>
      <c r="AA25" s="117"/>
      <c r="AB25" s="117"/>
      <c r="AC25" s="117"/>
      <c r="AD25" s="117"/>
      <c r="AE25" s="117"/>
    </row>
    <row r="26" spans="1:33" x14ac:dyDescent="0.25">
      <c r="A26" s="17">
        <v>34795</v>
      </c>
      <c r="B26" s="17">
        <v>35160</v>
      </c>
      <c r="C26" s="21">
        <v>154000</v>
      </c>
      <c r="F26" s="17">
        <v>48310</v>
      </c>
      <c r="G26" s="17">
        <v>48674</v>
      </c>
      <c r="H26" s="21">
        <f t="shared" si="0"/>
        <v>185712</v>
      </c>
    </row>
    <row r="27" spans="1:33" x14ac:dyDescent="0.25">
      <c r="A27" s="17">
        <v>35161</v>
      </c>
      <c r="B27" s="17">
        <v>35525</v>
      </c>
      <c r="C27" s="21">
        <v>200000</v>
      </c>
      <c r="F27" s="17">
        <v>48675</v>
      </c>
      <c r="G27" s="17">
        <v>49039</v>
      </c>
      <c r="H27" s="21">
        <f t="shared" si="0"/>
        <v>189427</v>
      </c>
      <c r="J27" t="s">
        <v>93</v>
      </c>
      <c r="P27" s="21">
        <f>SUM(P2:P9)-SUM(P12:P14)-P24</f>
        <v>766000</v>
      </c>
      <c r="R27" t="s">
        <v>93</v>
      </c>
      <c r="X27" s="36">
        <f>SUM(X2:X9)-SUM(X12:X14)-X24</f>
        <v>766000</v>
      </c>
      <c r="Y27" s="36"/>
      <c r="Z27" t="s">
        <v>93</v>
      </c>
      <c r="AF27" s="36">
        <f>SUM(AF2:AF9)-'Gifting details'!J32-SUM(AF12:AF14)-AF24</f>
        <v>766000</v>
      </c>
      <c r="AG27" s="21"/>
    </row>
    <row r="28" spans="1:33" x14ac:dyDescent="0.25">
      <c r="A28" s="17">
        <v>35526</v>
      </c>
      <c r="B28" s="17">
        <v>35890</v>
      </c>
      <c r="C28" s="21">
        <v>215000</v>
      </c>
      <c r="F28" s="17">
        <v>49040</v>
      </c>
      <c r="G28" s="17">
        <v>49404</v>
      </c>
      <c r="H28" s="21">
        <f t="shared" si="0"/>
        <v>193216</v>
      </c>
      <c r="J28" t="s">
        <v>94</v>
      </c>
      <c r="P28" s="21">
        <f ca="1">MAX(P18-P10,0)+P22</f>
        <v>1000000</v>
      </c>
      <c r="R28" t="s">
        <v>94</v>
      </c>
      <c r="X28" s="21" t="e">
        <f>MAX(X18-X10,0)+X22</f>
        <v>#N/A</v>
      </c>
      <c r="Z28" t="s">
        <v>94</v>
      </c>
      <c r="AF28" s="21" t="e">
        <f>MAX(AF18-AF10,0)+AF22</f>
        <v>#N/A</v>
      </c>
      <c r="AG28" s="21"/>
    </row>
    <row r="29" spans="1:33" x14ac:dyDescent="0.25">
      <c r="A29" s="17">
        <v>35891</v>
      </c>
      <c r="B29" s="17">
        <v>36255</v>
      </c>
      <c r="C29" s="21">
        <v>223000</v>
      </c>
      <c r="F29" s="17">
        <v>49405</v>
      </c>
      <c r="G29" s="17">
        <v>49770</v>
      </c>
      <c r="H29" s="21">
        <f t="shared" si="0"/>
        <v>197081</v>
      </c>
      <c r="J29" t="s">
        <v>95</v>
      </c>
      <c r="P29" s="21">
        <f ca="1">MAX(0,P27-P28)</f>
        <v>0</v>
      </c>
      <c r="R29" t="s">
        <v>95</v>
      </c>
      <c r="X29" s="21" t="e">
        <f>MAX(0,X27-X28)</f>
        <v>#N/A</v>
      </c>
      <c r="Z29" t="s">
        <v>95</v>
      </c>
      <c r="AF29" s="21" t="e">
        <f>MAX(0,AF27-AF28)</f>
        <v>#N/A</v>
      </c>
    </row>
    <row r="30" spans="1:33" x14ac:dyDescent="0.25">
      <c r="A30" s="17">
        <v>36256</v>
      </c>
      <c r="B30" s="17">
        <v>36621</v>
      </c>
      <c r="C30" s="21">
        <v>231000</v>
      </c>
      <c r="F30" s="17">
        <v>49771</v>
      </c>
      <c r="G30" s="17">
        <v>50135</v>
      </c>
      <c r="H30" s="21">
        <f t="shared" si="0"/>
        <v>201023</v>
      </c>
    </row>
    <row r="31" spans="1:33" x14ac:dyDescent="0.25">
      <c r="A31" s="17">
        <v>36622</v>
      </c>
      <c r="B31" s="17">
        <v>36986</v>
      </c>
      <c r="C31" s="21">
        <v>234000</v>
      </c>
      <c r="F31" s="17">
        <v>50136</v>
      </c>
      <c r="G31" s="17">
        <v>50500</v>
      </c>
      <c r="H31" s="21">
        <f t="shared" si="0"/>
        <v>205044</v>
      </c>
      <c r="J31" t="s">
        <v>96</v>
      </c>
      <c r="P31" s="21">
        <f ca="1">P29*IHTrate+Q56</f>
        <v>0</v>
      </c>
      <c r="R31" t="s">
        <v>96</v>
      </c>
      <c r="X31" s="21" t="e">
        <f>X29*IHTrate+Y56</f>
        <v>#N/A</v>
      </c>
      <c r="Z31" t="s">
        <v>97</v>
      </c>
      <c r="AF31" s="21" t="e">
        <f>AF29*IHTrate+Y56+AG56</f>
        <v>#N/A</v>
      </c>
    </row>
    <row r="32" spans="1:33" x14ac:dyDescent="0.25">
      <c r="A32" s="17">
        <v>36987</v>
      </c>
      <c r="B32" s="17">
        <v>37351</v>
      </c>
      <c r="C32" s="21">
        <v>242000</v>
      </c>
      <c r="F32" s="17">
        <v>50501</v>
      </c>
      <c r="G32" s="17">
        <v>50865</v>
      </c>
      <c r="H32" s="21">
        <f t="shared" si="0"/>
        <v>209145</v>
      </c>
    </row>
    <row r="33" spans="1:33" x14ac:dyDescent="0.25">
      <c r="A33" s="17">
        <v>37352</v>
      </c>
      <c r="B33" s="17">
        <v>37716</v>
      </c>
      <c r="C33" s="21">
        <v>250000</v>
      </c>
      <c r="F33" s="17">
        <v>50866</v>
      </c>
      <c r="G33" s="17">
        <v>51231</v>
      </c>
      <c r="H33" s="21">
        <f t="shared" si="0"/>
        <v>213328</v>
      </c>
    </row>
    <row r="34" spans="1:33" x14ac:dyDescent="0.25">
      <c r="A34" s="17">
        <v>37717</v>
      </c>
      <c r="B34" s="17">
        <v>38082</v>
      </c>
      <c r="C34" s="21">
        <v>255000</v>
      </c>
      <c r="F34" s="17">
        <v>51232</v>
      </c>
      <c r="G34" s="17">
        <v>51596</v>
      </c>
      <c r="H34" s="21">
        <f t="shared" si="0"/>
        <v>217595</v>
      </c>
      <c r="J34" s="4" t="s">
        <v>98</v>
      </c>
      <c r="R34" s="4" t="s">
        <v>99</v>
      </c>
      <c r="Z34" s="4" t="s">
        <v>100</v>
      </c>
    </row>
    <row r="35" spans="1:33" ht="30" x14ac:dyDescent="0.25">
      <c r="A35" s="17">
        <v>38083</v>
      </c>
      <c r="B35" s="17">
        <v>38447</v>
      </c>
      <c r="C35" s="21">
        <v>263000</v>
      </c>
      <c r="F35" s="17">
        <v>51597</v>
      </c>
      <c r="G35" s="17">
        <v>51961</v>
      </c>
      <c r="H35" s="21">
        <f t="shared" si="0"/>
        <v>221947</v>
      </c>
      <c r="J35" s="43" t="s">
        <v>41</v>
      </c>
      <c r="K35" s="44" t="s">
        <v>42</v>
      </c>
      <c r="L35" s="45" t="s">
        <v>43</v>
      </c>
      <c r="M35" s="45" t="s">
        <v>44</v>
      </c>
      <c r="N35" s="79" t="s">
        <v>45</v>
      </c>
      <c r="O35" s="79" t="s">
        <v>46</v>
      </c>
      <c r="P35" t="s">
        <v>47</v>
      </c>
      <c r="Q35" t="s">
        <v>48</v>
      </c>
      <c r="R35" s="43" t="s">
        <v>41</v>
      </c>
      <c r="S35" s="44" t="s">
        <v>42</v>
      </c>
      <c r="T35" s="45" t="s">
        <v>43</v>
      </c>
      <c r="U35" s="45" t="s">
        <v>44</v>
      </c>
      <c r="V35" s="79" t="s">
        <v>45</v>
      </c>
      <c r="W35" s="79" t="s">
        <v>46</v>
      </c>
      <c r="X35" t="s">
        <v>47</v>
      </c>
      <c r="Y35" t="s">
        <v>48</v>
      </c>
      <c r="Z35" s="43" t="s">
        <v>41</v>
      </c>
      <c r="AA35" s="44" t="s">
        <v>42</v>
      </c>
      <c r="AB35" s="45" t="s">
        <v>43</v>
      </c>
      <c r="AC35" s="45" t="s">
        <v>44</v>
      </c>
      <c r="AD35" s="79" t="s">
        <v>45</v>
      </c>
      <c r="AE35" s="79" t="s">
        <v>46</v>
      </c>
      <c r="AF35" t="s">
        <v>47</v>
      </c>
      <c r="AG35" t="s">
        <v>48</v>
      </c>
    </row>
    <row r="36" spans="1:33" x14ac:dyDescent="0.25">
      <c r="A36" s="17">
        <v>38448</v>
      </c>
      <c r="B36" s="17">
        <v>38812</v>
      </c>
      <c r="C36" s="21">
        <v>275000</v>
      </c>
      <c r="F36" s="17">
        <v>51962</v>
      </c>
      <c r="G36" s="17">
        <v>52326</v>
      </c>
      <c r="H36" s="21">
        <f t="shared" si="0"/>
        <v>226386</v>
      </c>
      <c r="J36" s="17" t="str">
        <f>IF('Gifting details'!C12="","",'Gifting details'!C12)</f>
        <v/>
      </c>
      <c r="K36" s="17" t="str">
        <f>IF('Gifting details'!D12="","",IF(AND(M36&lt;7,'Gifting details'!D12="PET"),"Chargeable Transfer",'Gifting details'!D12))</f>
        <v/>
      </c>
      <c r="L36" s="21" t="str">
        <f>IF('Gifting details'!E12="","",'Gifting details'!E12)</f>
        <v/>
      </c>
      <c r="M36" s="41" t="str">
        <f>IF('Gifting details'!F12="","",'Gifting details'!F12)</f>
        <v/>
      </c>
      <c r="N36" s="42" cm="1">
        <f t="array" ref="N36">IFERROR(LOOKUP(2,1/((M36&gt;=$J$63:$J$67)*(M36&lt;=$K$63:$K$67)),$L$63:$L$67),0)</f>
        <v>0</v>
      </c>
      <c r="O36" s="17" t="str">
        <f>IFERROR(DATE(YEAR(J36)-7,MONTH(J36),DAY(J36)),"")</f>
        <v/>
      </c>
      <c r="P36" s="21">
        <f>SUMIFS(L$36:L$55,J$36:J$55,"&lt;"&amp;J36,J$36:J$55,"&gt;"&amp;O36,K$36:K$55,"&lt;&gt;"&amp;"PET")</f>
        <v>0</v>
      </c>
      <c r="Q36" s="47">
        <f>MAX(0,IF(M36&gt;6,0,MAX(0,L36-(MAX(0,P$18-P36)))*N36)-'Gifting details'!X12)</f>
        <v>0</v>
      </c>
      <c r="R36" s="17" t="str">
        <f>IF('Gifting details'!C12="","",'Gifting details'!C12)</f>
        <v/>
      </c>
      <c r="S36" s="17" t="str">
        <f>IF('Gifting details'!D12="","",IF(AND(U36&lt;7,'Gifting details'!D12="PET"),"Chargeable Transfer",'Gifting details'!D12))</f>
        <v/>
      </c>
      <c r="T36" s="21" t="str">
        <f>IF('Gifting details'!E12="","",'Gifting details'!E12)</f>
        <v/>
      </c>
      <c r="U36" s="41" t="str">
        <f>IF('Gifting details'!B12="","",'Gifting details'!B12)</f>
        <v/>
      </c>
      <c r="V36" s="42" cm="1">
        <f t="array" ref="V36">IFERROR(LOOKUP(2,1/((U36&gt;=$J$63:$J$67)*(U36&lt;=$K$63:$K$67)),$L$63:$L$67),0)</f>
        <v>0</v>
      </c>
      <c r="W36" s="17" t="str">
        <f>IFERROR(DATE(YEAR(R36)-7,MONTH(R36),DAY(R36)),"")</f>
        <v/>
      </c>
      <c r="X36" s="21">
        <f>SUMIFS(T$36:T$55,R$36:R$55,"&lt;"&amp;R36,R$36:R$55,"&gt;"&amp;W36,S$36:S$55,"&lt;&gt;"&amp;"PET")</f>
        <v>0</v>
      </c>
      <c r="Y36" s="47">
        <f>MAX(0,IF(U36&gt;6,0,MAX(0,T36-(MAX(0,X$18-X36)))*V36)-'Gifting details'!X12)</f>
        <v>0</v>
      </c>
      <c r="Z36" s="17" t="str">
        <f>IF('Gifting details'!H12="","",'Gifting details'!H12)</f>
        <v/>
      </c>
      <c r="AA36" s="17" t="str">
        <f>IF('Gifting details'!I12="","",IF(AND(AC36&lt;7,'Gifting details'!I12="PET"),"Chargeable Transfer",'Gifting details'!I12))</f>
        <v/>
      </c>
      <c r="AB36" s="21" t="str">
        <f>IF('Gifting details'!J12="","",'Gifting details'!J12)</f>
        <v/>
      </c>
      <c r="AC36" s="41" t="str">
        <f>IF('Gifting details'!M12="","",'Gifting details'!M12)</f>
        <v/>
      </c>
      <c r="AD36" s="42" cm="1">
        <f t="array" ref="AD36">IFERROR(LOOKUP(2,1/((AC36&gt;=$J$63:$J$67)*(AC36&lt;=$K$63:$K$67)),$L$63:$L$67),0)</f>
        <v>0</v>
      </c>
      <c r="AE36" s="17" t="str">
        <f>IFERROR(DATE(YEAR(Z36)-7,MONTH(Z36),DAY(Z36)),"")</f>
        <v/>
      </c>
      <c r="AF36" s="78">
        <f>SUMIFS(AB$36:AB$55,Z$36:Z$55,"&lt;"&amp;Z36,Z$36:Z$55,"&gt;"&amp;AE36,AA$36:AA$55,"&lt;&gt;"&amp;"PET")+SUMIFS(T$36:T$55,R$36:R$55,"&lt;"&amp;Z36,R$36:R$55,"&gt;"&amp;AE36,S$36:S$55,"&lt;&gt;"&amp;"PET")</f>
        <v>0</v>
      </c>
      <c r="AG36" s="47">
        <f>MAX(0,IF(AC36&gt;6,0,MAX(0,AB36-(MAX(0,AF$18-AF36)))*AD36)-'Gifting details'!AF12)</f>
        <v>0</v>
      </c>
    </row>
    <row r="37" spans="1:33" x14ac:dyDescent="0.25">
      <c r="A37" s="17">
        <v>38813</v>
      </c>
      <c r="B37" s="17">
        <v>39177</v>
      </c>
      <c r="C37" s="21">
        <v>285000</v>
      </c>
      <c r="F37" s="17">
        <v>52327</v>
      </c>
      <c r="G37" s="17">
        <v>52692</v>
      </c>
      <c r="H37" s="21">
        <f t="shared" si="0"/>
        <v>230914</v>
      </c>
      <c r="J37" s="17" t="str">
        <f>IF('Gifting details'!C13="","",'Gifting details'!C13)</f>
        <v/>
      </c>
      <c r="K37" s="17" t="str">
        <f>IF('Gifting details'!D13="","",IF(AND(M37&lt;7,'Gifting details'!D13="PET"),"Chargeable Transfer",'Gifting details'!D13))</f>
        <v/>
      </c>
      <c r="L37" s="21" t="str">
        <f>IF('Gifting details'!E13="","",'Gifting details'!E13)</f>
        <v/>
      </c>
      <c r="M37" s="41" t="str">
        <f>IF('Gifting details'!F13="","",'Gifting details'!F13)</f>
        <v/>
      </c>
      <c r="N37" s="42" cm="1">
        <f t="array" ref="N37">IFERROR(LOOKUP(2,1/((M37&gt;=$J$63:$J$67)*(M37&lt;=$K$63:$K$67)),$L$63:$L$67),0)</f>
        <v>0</v>
      </c>
      <c r="O37" s="17" t="str">
        <f t="shared" ref="O37:O55" si="1">IFERROR(DATE(YEAR(J37)-7,MONTH(J37),DAY(J37)),"")</f>
        <v/>
      </c>
      <c r="P37" s="21">
        <f>SUMIFS(L$36:L$55,J$36:J$55,"&lt;"&amp;J37,J$36:J$55,"&gt;"&amp;O37,K$36:K$55,"&lt;&gt;"&amp;"PET")</f>
        <v>0</v>
      </c>
      <c r="Q37" s="47">
        <f>MAX(0,IF(M37&gt;6,0,MAX(0,L37-(MAX(0,P$18-P37)))*N37)-'Gifting details'!X13)</f>
        <v>0</v>
      </c>
      <c r="R37" s="17" t="str">
        <f>IF('Gifting details'!C13="","",'Gifting details'!C13)</f>
        <v/>
      </c>
      <c r="S37" s="17" t="str">
        <f>IF('Gifting details'!D13="","",IF(AND(U37&lt;7,'Gifting details'!D13="PET"),"Chargeable Transfer",'Gifting details'!D13))</f>
        <v/>
      </c>
      <c r="T37" s="21" t="str">
        <f>IF('Gifting details'!E13="","",'Gifting details'!E13)</f>
        <v/>
      </c>
      <c r="U37" s="41" t="str">
        <f>IF('Gifting details'!B13="","",'Gifting details'!B13)</f>
        <v/>
      </c>
      <c r="V37" s="42" cm="1">
        <f t="array" ref="V37">IFERROR(LOOKUP(2,1/((U37&gt;=$J$63:$J$67)*(U37&lt;=$K$63:$K$67)),$L$63:$L$67),0)</f>
        <v>0</v>
      </c>
      <c r="W37" s="17" t="str">
        <f t="shared" ref="W37:W55" si="2">IFERROR(DATE(YEAR(R37)-7,MONTH(R37),DAY(R37)),"")</f>
        <v/>
      </c>
      <c r="X37" s="21">
        <f t="shared" ref="X37:X55" si="3">SUMIFS(T$36:T$55,R$36:R$55,"&lt;"&amp;R37,R$36:R$55,"&gt;"&amp;W37,S$36:S$55,"&lt;&gt;"&amp;"PET")</f>
        <v>0</v>
      </c>
      <c r="Y37" s="47">
        <f>MAX(0,IF(U37&gt;6,0,MAX(0,T37-(MAX(0,X$18-X37)))*V37)-'Gifting details'!X13)</f>
        <v>0</v>
      </c>
      <c r="Z37" s="17" t="str">
        <f>IF('Gifting details'!H13="","",'Gifting details'!H13)</f>
        <v/>
      </c>
      <c r="AA37" s="17" t="str">
        <f>IF('Gifting details'!I13="","",IF(AND(AC37&lt;7,'Gifting details'!I13="PET"),"Chargeable Transfer",'Gifting details'!I13))</f>
        <v/>
      </c>
      <c r="AB37" s="21" t="str">
        <f>IF('Gifting details'!J13="","",'Gifting details'!J13)</f>
        <v/>
      </c>
      <c r="AC37" s="41" t="str">
        <f>IF('Gifting details'!M13="","",'Gifting details'!M13)</f>
        <v/>
      </c>
      <c r="AD37" s="42" cm="1">
        <f t="array" ref="AD37">IFERROR(LOOKUP(2,1/((AC37&gt;=$J$63:$J$67)*(AC37&lt;=$K$63:$K$67)),$L$63:$L$67),0)</f>
        <v>0</v>
      </c>
      <c r="AE37" s="17" t="str">
        <f t="shared" ref="AE37:AE55" si="4">IFERROR(DATE(YEAR(Z37)-7,MONTH(Z37),DAY(Z37)),"")</f>
        <v/>
      </c>
      <c r="AF37" s="78">
        <f t="shared" ref="AF37:AF55" si="5">SUMIFS(AB$36:AB$55,Z$36:Z$55,"&lt;"&amp;Z37,Z$36:Z$55,"&gt;"&amp;AE37,AA$36:AA$55,"&lt;&gt;"&amp;"PET")+SUMIFS(T$36:T$55,R$36:R$55,"&lt;"&amp;Z37,R$36:R$55,"&gt;"&amp;AE37,S$36:S$55,"&lt;&gt;"&amp;"PET")</f>
        <v>0</v>
      </c>
      <c r="AG37" s="47">
        <f>MAX(0,IF(AC37&gt;6,0,MAX(0,AB37-(MAX(0,AF$18-AF37)))*AD37)-'Gifting details'!AF13)</f>
        <v>0</v>
      </c>
    </row>
    <row r="38" spans="1:33" x14ac:dyDescent="0.25">
      <c r="A38" s="17">
        <v>39178</v>
      </c>
      <c r="B38" s="17">
        <v>39543</v>
      </c>
      <c r="C38" s="21">
        <v>300000</v>
      </c>
      <c r="F38" s="17">
        <v>52693</v>
      </c>
      <c r="G38" s="17">
        <v>53057</v>
      </c>
      <c r="H38" s="21">
        <f t="shared" si="0"/>
        <v>235533</v>
      </c>
      <c r="J38" s="17" t="str">
        <f>IF('Gifting details'!C14="","",'Gifting details'!C14)</f>
        <v/>
      </c>
      <c r="K38" s="17" t="str">
        <f>IF('Gifting details'!D14="","",IF(AND(M38&lt;7,'Gifting details'!D14="PET"),"Chargeable Transfer",'Gifting details'!D14))</f>
        <v/>
      </c>
      <c r="L38" s="21" t="str">
        <f>IF('Gifting details'!E14="","",'Gifting details'!E14)</f>
        <v/>
      </c>
      <c r="M38" s="41" t="str">
        <f>IF('Gifting details'!F14="","",'Gifting details'!F14)</f>
        <v/>
      </c>
      <c r="N38" s="42" cm="1">
        <f t="array" ref="N38">IFERROR(LOOKUP(2,1/((M38&gt;=$J$63:$J$67)*(M38&lt;=$K$63:$K$67)),$L$63:$L$67),0)</f>
        <v>0</v>
      </c>
      <c r="O38" s="17" t="str">
        <f t="shared" si="1"/>
        <v/>
      </c>
      <c r="P38" s="21">
        <f t="shared" ref="P38:P55" si="6">SUMIFS(L$36:L$55,J$36:J$55,"&lt;"&amp;J38,J$36:J$55,"&gt;"&amp;O38,K$36:K$55,"&lt;&gt;"&amp;"PET")</f>
        <v>0</v>
      </c>
      <c r="Q38" s="47">
        <f>MAX(0,IF(M38&gt;6,0,MAX(0,L38-(MAX(0,P$18-P38)))*N38)-'Gifting details'!X14)</f>
        <v>0</v>
      </c>
      <c r="R38" s="17" t="str">
        <f>IF('Gifting details'!C14="","",'Gifting details'!C14)</f>
        <v/>
      </c>
      <c r="S38" s="17" t="str">
        <f>IF('Gifting details'!D14="","",IF(AND(U38&lt;7,'Gifting details'!D14="PET"),"Chargeable Transfer",'Gifting details'!D14))</f>
        <v/>
      </c>
      <c r="T38" s="21" t="str">
        <f>IF('Gifting details'!E14="","",'Gifting details'!E14)</f>
        <v/>
      </c>
      <c r="U38" s="41" t="str">
        <f>IF('Gifting details'!B14="","",'Gifting details'!B14)</f>
        <v/>
      </c>
      <c r="V38" s="42" cm="1">
        <f t="array" ref="V38">IFERROR(LOOKUP(2,1/((U38&gt;=$J$63:$J$67)*(U38&lt;=$K$63:$K$67)),$L$63:$L$67),0)</f>
        <v>0</v>
      </c>
      <c r="W38" s="17" t="str">
        <f t="shared" si="2"/>
        <v/>
      </c>
      <c r="X38" s="21">
        <f t="shared" si="3"/>
        <v>0</v>
      </c>
      <c r="Y38" s="47">
        <f>MAX(0,IF(U38&gt;6,0,MAX(0,T38-(MAX(0,X$18-X38)))*V38)-'Gifting details'!X14)</f>
        <v>0</v>
      </c>
      <c r="Z38" s="17" t="str">
        <f>IF('Gifting details'!H14="","",'Gifting details'!H14)</f>
        <v/>
      </c>
      <c r="AA38" s="17" t="str">
        <f>IF('Gifting details'!I14="","",IF(AND(AC38&lt;7,'Gifting details'!I14="PET"),"Chargeable Transfer",'Gifting details'!I14))</f>
        <v/>
      </c>
      <c r="AB38" s="21" t="str">
        <f>IF('Gifting details'!J14="","",'Gifting details'!J14)</f>
        <v/>
      </c>
      <c r="AC38" s="41" t="str">
        <f>IF('Gifting details'!M14="","",'Gifting details'!M14)</f>
        <v/>
      </c>
      <c r="AD38" s="42" cm="1">
        <f t="array" ref="AD38">IFERROR(LOOKUP(2,1/((AC38&gt;=$J$63:$J$67)*(AC38&lt;=$K$63:$K$67)),$L$63:$L$67),0)</f>
        <v>0</v>
      </c>
      <c r="AE38" s="17" t="str">
        <f t="shared" si="4"/>
        <v/>
      </c>
      <c r="AF38" s="78">
        <f t="shared" si="5"/>
        <v>0</v>
      </c>
      <c r="AG38" s="47">
        <f>MAX(0,IF(AC38&gt;6,0,MAX(0,AB38-(MAX(0,AF$18-AF38)))*AD38)-'Gifting details'!AF14)</f>
        <v>0</v>
      </c>
    </row>
    <row r="39" spans="1:33" x14ac:dyDescent="0.25">
      <c r="A39" s="17">
        <v>39544</v>
      </c>
      <c r="B39" s="17">
        <v>39908</v>
      </c>
      <c r="C39" s="21">
        <v>312000</v>
      </c>
      <c r="F39" s="17">
        <v>53058</v>
      </c>
      <c r="G39" s="17">
        <v>53422</v>
      </c>
      <c r="H39" s="21">
        <f t="shared" si="0"/>
        <v>240244</v>
      </c>
      <c r="J39" s="17" t="str">
        <f>IF('Gifting details'!C15="","",'Gifting details'!C15)</f>
        <v/>
      </c>
      <c r="K39" s="17" t="str">
        <f>IF('Gifting details'!D15="","",IF(AND(M39&lt;7,'Gifting details'!D15="PET"),"Chargeable Transfer",'Gifting details'!D15))</f>
        <v/>
      </c>
      <c r="L39" s="21" t="str">
        <f>IF('Gifting details'!E15="","",'Gifting details'!E15)</f>
        <v/>
      </c>
      <c r="M39" s="41" t="str">
        <f>IF('Gifting details'!F15="","",'Gifting details'!F15)</f>
        <v/>
      </c>
      <c r="N39" s="42" cm="1">
        <f t="array" ref="N39">IFERROR(LOOKUP(2,1/((M39&gt;=$J$63:$J$67)*(M39&lt;=$K$63:$K$67)),$L$63:$L$67),0)</f>
        <v>0</v>
      </c>
      <c r="O39" s="17" t="str">
        <f t="shared" si="1"/>
        <v/>
      </c>
      <c r="P39" s="21">
        <f t="shared" si="6"/>
        <v>0</v>
      </c>
      <c r="Q39" s="47">
        <f>MAX(0,IF(M39&gt;6,0,MAX(0,L39-(MAX(0,P$18-P39)))*N39)-'Gifting details'!X15)</f>
        <v>0</v>
      </c>
      <c r="R39" s="17" t="str">
        <f>IF('Gifting details'!C15="","",'Gifting details'!C15)</f>
        <v/>
      </c>
      <c r="S39" s="17" t="str">
        <f>IF('Gifting details'!D15="","",IF(AND(U39&lt;7,'Gifting details'!D15="PET"),"Chargeable Transfer",'Gifting details'!D15))</f>
        <v/>
      </c>
      <c r="T39" s="21" t="str">
        <f>IF('Gifting details'!E15="","",'Gifting details'!E15)</f>
        <v/>
      </c>
      <c r="U39" s="41" t="str">
        <f>IF('Gifting details'!B15="","",'Gifting details'!B15)</f>
        <v/>
      </c>
      <c r="V39" s="42" cm="1">
        <f t="array" ref="V39">IFERROR(LOOKUP(2,1/((U39&gt;=$J$63:$J$67)*(U39&lt;=$K$63:$K$67)),$L$63:$L$67),0)</f>
        <v>0</v>
      </c>
      <c r="W39" s="17" t="str">
        <f t="shared" si="2"/>
        <v/>
      </c>
      <c r="X39" s="21">
        <f t="shared" si="3"/>
        <v>0</v>
      </c>
      <c r="Y39" s="47">
        <f>MAX(0,IF(U39&gt;6,0,MAX(0,T39-(MAX(0,X$18-X39)))*V39)-'Gifting details'!X15)</f>
        <v>0</v>
      </c>
      <c r="Z39" s="17" t="str">
        <f>IF('Gifting details'!H15="","",'Gifting details'!H15)</f>
        <v/>
      </c>
      <c r="AA39" s="17" t="str">
        <f>IF('Gifting details'!I15="","",IF(AND(AC39&lt;7,'Gifting details'!I15="PET"),"Chargeable Transfer",'Gifting details'!I15))</f>
        <v/>
      </c>
      <c r="AB39" s="21" t="str">
        <f>IF('Gifting details'!J15="","",'Gifting details'!J15)</f>
        <v/>
      </c>
      <c r="AC39" s="41" t="str">
        <f>IF('Gifting details'!M15="","",'Gifting details'!M15)</f>
        <v/>
      </c>
      <c r="AD39" s="42" cm="1">
        <f t="array" ref="AD39">IFERROR(LOOKUP(2,1/((AC39&gt;=$J$63:$J$67)*(AC39&lt;=$K$63:$K$67)),$L$63:$L$67),0)</f>
        <v>0</v>
      </c>
      <c r="AE39" s="17" t="str">
        <f t="shared" si="4"/>
        <v/>
      </c>
      <c r="AF39" s="78">
        <f t="shared" si="5"/>
        <v>0</v>
      </c>
      <c r="AG39" s="47">
        <f>MAX(0,IF(AC39&gt;6,0,MAX(0,AB39-(MAX(0,AF$18-AF39)))*AD39)-'Gifting details'!AF15)</f>
        <v>0</v>
      </c>
    </row>
    <row r="40" spans="1:33" x14ac:dyDescent="0.25">
      <c r="A40" s="17">
        <v>39909</v>
      </c>
      <c r="B40" s="17">
        <v>46848</v>
      </c>
      <c r="C40" s="21">
        <v>325000</v>
      </c>
      <c r="F40" s="17">
        <v>53423</v>
      </c>
      <c r="G40" s="17">
        <v>53787</v>
      </c>
      <c r="H40" s="21">
        <f t="shared" si="0"/>
        <v>245049</v>
      </c>
      <c r="J40" s="17" t="str">
        <f>IF('Gifting details'!C16="","",'Gifting details'!C16)</f>
        <v/>
      </c>
      <c r="K40" s="17" t="str">
        <f>IF('Gifting details'!D16="","",IF(AND(M40&lt;7,'Gifting details'!D16="PET"),"Chargeable Transfer",'Gifting details'!D16))</f>
        <v/>
      </c>
      <c r="L40" s="21" t="str">
        <f>IF('Gifting details'!E16="","",'Gifting details'!E16)</f>
        <v/>
      </c>
      <c r="M40" s="41" t="str">
        <f>IF('Gifting details'!F16="","",'Gifting details'!F16)</f>
        <v/>
      </c>
      <c r="N40" s="42" cm="1">
        <f t="array" ref="N40">IFERROR(LOOKUP(2,1/((M40&gt;=$J$63:$J$67)*(M40&lt;=$K$63:$K$67)),$L$63:$L$67),0)</f>
        <v>0</v>
      </c>
      <c r="O40" s="17" t="str">
        <f t="shared" si="1"/>
        <v/>
      </c>
      <c r="P40" s="21">
        <f t="shared" si="6"/>
        <v>0</v>
      </c>
      <c r="Q40" s="47">
        <f>MAX(0,IF(M40&gt;6,0,MAX(0,L40-(MAX(0,P$18-P40)))*N40)-'Gifting details'!X16)</f>
        <v>0</v>
      </c>
      <c r="R40" s="17" t="str">
        <f>IF('Gifting details'!C16="","",'Gifting details'!C16)</f>
        <v/>
      </c>
      <c r="S40" s="17" t="str">
        <f>IF('Gifting details'!D16="","",IF(AND(U40&lt;7,'Gifting details'!D16="PET"),"Chargeable Transfer",'Gifting details'!D16))</f>
        <v/>
      </c>
      <c r="T40" s="21" t="str">
        <f>IF('Gifting details'!E16="","",'Gifting details'!E16)</f>
        <v/>
      </c>
      <c r="U40" s="41" t="str">
        <f>IF('Gifting details'!B16="","",'Gifting details'!B16)</f>
        <v/>
      </c>
      <c r="V40" s="42" cm="1">
        <f t="array" ref="V40">IFERROR(LOOKUP(2,1/((U40&gt;=$J$63:$J$67)*(U40&lt;=$K$63:$K$67)),$L$63:$L$67),0)</f>
        <v>0</v>
      </c>
      <c r="W40" s="17" t="str">
        <f t="shared" si="2"/>
        <v/>
      </c>
      <c r="X40" s="21">
        <f t="shared" si="3"/>
        <v>0</v>
      </c>
      <c r="Y40" s="47">
        <f>MAX(0,IF(U40&gt;6,0,MAX(0,T40-(MAX(0,X$18-X40)))*V40)-'Gifting details'!X16)</f>
        <v>0</v>
      </c>
      <c r="Z40" s="17" t="str">
        <f>IF('Gifting details'!H16="","",'Gifting details'!H16)</f>
        <v/>
      </c>
      <c r="AA40" s="17" t="str">
        <f>IF('Gifting details'!I16="","",IF(AND(AC40&lt;7,'Gifting details'!I16="PET"),"Chargeable Transfer",'Gifting details'!I16))</f>
        <v/>
      </c>
      <c r="AB40" s="21" t="str">
        <f>IF('Gifting details'!J16="","",'Gifting details'!J16)</f>
        <v/>
      </c>
      <c r="AC40" s="41" t="str">
        <f>IF('Gifting details'!M16="","",'Gifting details'!M16)</f>
        <v/>
      </c>
      <c r="AD40" s="42" cm="1">
        <f t="array" ref="AD40">IFERROR(LOOKUP(2,1/((AC40&gt;=$J$63:$J$67)*(AC40&lt;=$K$63:$K$67)),$L$63:$L$67),0)</f>
        <v>0</v>
      </c>
      <c r="AE40" s="17" t="str">
        <f t="shared" si="4"/>
        <v/>
      </c>
      <c r="AF40" s="78">
        <f t="shared" si="5"/>
        <v>0</v>
      </c>
      <c r="AG40" s="47">
        <f>MAX(0,IF(AC40&gt;6,0,MAX(0,AB40-(MAX(0,AF$18-AF40)))*AD40)-'Gifting details'!AF16)</f>
        <v>0</v>
      </c>
    </row>
    <row r="41" spans="1:33" x14ac:dyDescent="0.25">
      <c r="A41" s="17">
        <v>46849</v>
      </c>
      <c r="B41" s="17">
        <v>47213</v>
      </c>
      <c r="C41" s="21">
        <v>325000</v>
      </c>
      <c r="F41" s="17">
        <v>53788</v>
      </c>
      <c r="G41" s="17">
        <v>54153</v>
      </c>
      <c r="H41" s="21">
        <f t="shared" si="0"/>
        <v>249950</v>
      </c>
      <c r="J41" s="17" t="str">
        <f>IF('Gifting details'!C17="","",'Gifting details'!C17)</f>
        <v/>
      </c>
      <c r="K41" s="17" t="str">
        <f>IF('Gifting details'!D17="","",IF(AND(M41&lt;7,'Gifting details'!D17="PET"),"Chargeable Transfer",'Gifting details'!D17))</f>
        <v/>
      </c>
      <c r="L41" s="21" t="str">
        <f>IF('Gifting details'!E17="","",'Gifting details'!E17)</f>
        <v/>
      </c>
      <c r="M41" s="41" t="str">
        <f>IF('Gifting details'!F17="","",'Gifting details'!F17)</f>
        <v/>
      </c>
      <c r="N41" s="42" cm="1">
        <f t="array" ref="N41">IFERROR(LOOKUP(2,1/((M41&gt;=$J$63:$J$67)*(M41&lt;=$K$63:$K$67)),$L$63:$L$67),0)</f>
        <v>0</v>
      </c>
      <c r="O41" s="17" t="str">
        <f t="shared" si="1"/>
        <v/>
      </c>
      <c r="P41" s="21">
        <f t="shared" si="6"/>
        <v>0</v>
      </c>
      <c r="Q41" s="47">
        <f>MAX(0,IF(M41&gt;6,0,MAX(0,L41-(MAX(0,P$18-P41)))*N41)-'Gifting details'!X17)</f>
        <v>0</v>
      </c>
      <c r="R41" s="17" t="str">
        <f>IF('Gifting details'!C17="","",'Gifting details'!C17)</f>
        <v/>
      </c>
      <c r="S41" s="17" t="str">
        <f>IF('Gifting details'!D17="","",IF(AND(U41&lt;7,'Gifting details'!D17="PET"),"Chargeable Transfer",'Gifting details'!D17))</f>
        <v/>
      </c>
      <c r="T41" s="21" t="str">
        <f>IF('Gifting details'!E17="","",'Gifting details'!E17)</f>
        <v/>
      </c>
      <c r="U41" s="41" t="str">
        <f>IF('Gifting details'!B17="","",'Gifting details'!B17)</f>
        <v/>
      </c>
      <c r="V41" s="42" cm="1">
        <f t="array" ref="V41">IFERROR(LOOKUP(2,1/((U41&gt;=$J$63:$J$67)*(U41&lt;=$K$63:$K$67)),$L$63:$L$67),0)</f>
        <v>0</v>
      </c>
      <c r="W41" s="17" t="str">
        <f t="shared" si="2"/>
        <v/>
      </c>
      <c r="X41" s="21">
        <f t="shared" si="3"/>
        <v>0</v>
      </c>
      <c r="Y41" s="47">
        <f>MAX(0,IF(U41&gt;6,0,MAX(0,T41-(MAX(0,X$18-X41)))*V41)-'Gifting details'!X17)</f>
        <v>0</v>
      </c>
      <c r="Z41" s="17" t="str">
        <f>IF('Gifting details'!H17="","",'Gifting details'!H17)</f>
        <v/>
      </c>
      <c r="AA41" s="17" t="str">
        <f>IF('Gifting details'!I17="","",IF(AND(AC41&lt;7,'Gifting details'!I17="PET"),"Chargeable Transfer",'Gifting details'!I17))</f>
        <v/>
      </c>
      <c r="AB41" s="21" t="str">
        <f>IF('Gifting details'!J17="","",'Gifting details'!J17)</f>
        <v/>
      </c>
      <c r="AC41" s="41" t="str">
        <f>IF('Gifting details'!M17="","",'Gifting details'!M17)</f>
        <v/>
      </c>
      <c r="AD41" s="42" cm="1">
        <f t="array" ref="AD41">IFERROR(LOOKUP(2,1/((AC41&gt;=$J$63:$J$67)*(AC41&lt;=$K$63:$K$67)),$L$63:$L$67),0)</f>
        <v>0</v>
      </c>
      <c r="AE41" s="17" t="str">
        <f t="shared" si="4"/>
        <v/>
      </c>
      <c r="AF41" s="78">
        <f t="shared" si="5"/>
        <v>0</v>
      </c>
      <c r="AG41" s="47">
        <f>MAX(0,IF(AC41&gt;6,0,MAX(0,AB41-(MAX(0,AF$18-AF41)))*AD41)-'Gifting details'!AF17)</f>
        <v>0</v>
      </c>
    </row>
    <row r="42" spans="1:33" x14ac:dyDescent="0.25">
      <c r="A42" s="17">
        <v>47214</v>
      </c>
      <c r="B42" s="17">
        <v>47578</v>
      </c>
      <c r="C42" s="21">
        <v>325000</v>
      </c>
      <c r="F42" s="17">
        <v>54154</v>
      </c>
      <c r="G42" s="17">
        <v>54518</v>
      </c>
      <c r="H42" s="21">
        <f t="shared" si="0"/>
        <v>254949</v>
      </c>
      <c r="J42" s="17" t="str">
        <f>IF('Gifting details'!C18="","",'Gifting details'!C18)</f>
        <v/>
      </c>
      <c r="K42" s="17" t="str">
        <f>IF('Gifting details'!D18="","",IF(AND(M42&lt;7,'Gifting details'!D18="PET"),"Chargeable Transfer",'Gifting details'!D18))</f>
        <v/>
      </c>
      <c r="L42" s="21" t="str">
        <f>IF('Gifting details'!E18="","",'Gifting details'!E18)</f>
        <v/>
      </c>
      <c r="M42" s="41" t="str">
        <f>IF('Gifting details'!F18="","",'Gifting details'!F18)</f>
        <v/>
      </c>
      <c r="N42" s="42" cm="1">
        <f t="array" ref="N42">IFERROR(LOOKUP(2,1/((M42&gt;=$J$63:$J$67)*(M42&lt;=$K$63:$K$67)),$L$63:$L$67),0)</f>
        <v>0</v>
      </c>
      <c r="O42" s="17" t="str">
        <f t="shared" si="1"/>
        <v/>
      </c>
      <c r="P42" s="21">
        <f t="shared" si="6"/>
        <v>0</v>
      </c>
      <c r="Q42" s="47">
        <f>MAX(0,IF(M42&gt;6,0,MAX(0,L42-(MAX(0,P$18-P42)))*N42)-'Gifting details'!X18)</f>
        <v>0</v>
      </c>
      <c r="R42" s="17" t="str">
        <f>IF('Gifting details'!C18="","",'Gifting details'!C18)</f>
        <v/>
      </c>
      <c r="S42" s="17" t="str">
        <f>IF('Gifting details'!D18="","",IF(AND(U42&lt;7,'Gifting details'!D18="PET"),"Chargeable Transfer",'Gifting details'!D18))</f>
        <v/>
      </c>
      <c r="T42" s="21" t="str">
        <f>IF('Gifting details'!E18="","",'Gifting details'!E18)</f>
        <v/>
      </c>
      <c r="U42" s="41" t="str">
        <f>IF('Gifting details'!B18="","",'Gifting details'!B18)</f>
        <v/>
      </c>
      <c r="V42" s="42" cm="1">
        <f t="array" ref="V42">IFERROR(LOOKUP(2,1/((U42&gt;=$J$63:$J$67)*(U42&lt;=$K$63:$K$67)),$L$63:$L$67),0)</f>
        <v>0</v>
      </c>
      <c r="W42" s="17" t="str">
        <f t="shared" si="2"/>
        <v/>
      </c>
      <c r="X42" s="21">
        <f t="shared" si="3"/>
        <v>0</v>
      </c>
      <c r="Y42" s="47">
        <f>MAX(0,IF(U42&gt;6,0,MAX(0,T42-(MAX(0,X$18-X42)))*V42)-'Gifting details'!X18)</f>
        <v>0</v>
      </c>
      <c r="Z42" s="17" t="str">
        <f>IF('Gifting details'!H18="","",'Gifting details'!H18)</f>
        <v/>
      </c>
      <c r="AA42" s="17" t="str">
        <f>IF('Gifting details'!I18="","",IF(AND(AC42&lt;7,'Gifting details'!I18="PET"),"Chargeable Transfer",'Gifting details'!I18))</f>
        <v/>
      </c>
      <c r="AB42" s="21" t="str">
        <f>IF('Gifting details'!J18="","",'Gifting details'!J18)</f>
        <v/>
      </c>
      <c r="AC42" s="41" t="str">
        <f>IF('Gifting details'!M18="","",'Gifting details'!M18)</f>
        <v/>
      </c>
      <c r="AD42" s="42" cm="1">
        <f t="array" ref="AD42">IFERROR(LOOKUP(2,1/((AC42&gt;=$J$63:$J$67)*(AC42&lt;=$K$63:$K$67)),$L$63:$L$67),0)</f>
        <v>0</v>
      </c>
      <c r="AE42" s="17" t="str">
        <f t="shared" si="4"/>
        <v/>
      </c>
      <c r="AF42" s="78">
        <f t="shared" si="5"/>
        <v>0</v>
      </c>
      <c r="AG42" s="47">
        <f>MAX(0,IF(AC42&gt;6,0,MAX(0,AB42-(MAX(0,AF$18-AF42)))*AD42)-'Gifting details'!AF18)</f>
        <v>0</v>
      </c>
    </row>
    <row r="43" spans="1:33" x14ac:dyDescent="0.25">
      <c r="A43" s="17">
        <v>47579</v>
      </c>
      <c r="B43" s="17">
        <v>47943</v>
      </c>
      <c r="C43" s="21">
        <f t="shared" ref="C43:C105" si="7">ROUNDUP(C42*102%,0)</f>
        <v>331500</v>
      </c>
      <c r="F43" s="17">
        <v>54519</v>
      </c>
      <c r="G43" s="17">
        <v>54883</v>
      </c>
      <c r="H43" s="21">
        <f t="shared" si="0"/>
        <v>260048</v>
      </c>
      <c r="J43" s="17" t="str">
        <f>IF('Gifting details'!C19="","",'Gifting details'!C19)</f>
        <v/>
      </c>
      <c r="K43" s="17" t="str">
        <f>IF('Gifting details'!D19="","",IF(AND(M43&lt;7,'Gifting details'!D19="PET"),"Chargeable Transfer",'Gifting details'!D19))</f>
        <v/>
      </c>
      <c r="L43" s="21" t="str">
        <f>IF('Gifting details'!E19="","",'Gifting details'!E19)</f>
        <v/>
      </c>
      <c r="M43" s="41" t="str">
        <f>IF('Gifting details'!F19="","",'Gifting details'!F19)</f>
        <v/>
      </c>
      <c r="N43" s="42" cm="1">
        <f t="array" ref="N43">IFERROR(LOOKUP(2,1/((M43&gt;=$J$63:$J$67)*(M43&lt;=$K$63:$K$67)),$L$63:$L$67),0)</f>
        <v>0</v>
      </c>
      <c r="O43" s="17" t="str">
        <f t="shared" si="1"/>
        <v/>
      </c>
      <c r="P43" s="21">
        <f t="shared" si="6"/>
        <v>0</v>
      </c>
      <c r="Q43" s="47">
        <f>MAX(0,IF(M43&gt;6,0,MAX(0,L43-(MAX(0,P$18-P43)))*N43)-'Gifting details'!X19)</f>
        <v>0</v>
      </c>
      <c r="R43" s="17" t="str">
        <f>IF('Gifting details'!C19="","",'Gifting details'!C19)</f>
        <v/>
      </c>
      <c r="S43" s="17" t="str">
        <f>IF('Gifting details'!D19="","",IF(AND(U43&lt;7,'Gifting details'!D19="PET"),"Chargeable Transfer",'Gifting details'!D19))</f>
        <v/>
      </c>
      <c r="T43" s="21" t="str">
        <f>IF('Gifting details'!E19="","",'Gifting details'!E19)</f>
        <v/>
      </c>
      <c r="U43" s="41" t="str">
        <f>IF('Gifting details'!B19="","",'Gifting details'!B19)</f>
        <v/>
      </c>
      <c r="V43" s="42" cm="1">
        <f t="array" ref="V43">IFERROR(LOOKUP(2,1/((U43&gt;=$J$63:$J$67)*(U43&lt;=$K$63:$K$67)),$L$63:$L$67),0)</f>
        <v>0</v>
      </c>
      <c r="W43" s="17" t="str">
        <f t="shared" si="2"/>
        <v/>
      </c>
      <c r="X43" s="21">
        <f t="shared" si="3"/>
        <v>0</v>
      </c>
      <c r="Y43" s="47">
        <f>MAX(0,IF(U43&gt;6,0,MAX(0,T43-(MAX(0,X$18-X43)))*V43)-'Gifting details'!X19)</f>
        <v>0</v>
      </c>
      <c r="Z43" s="17" t="str">
        <f>IF('Gifting details'!H19="","",'Gifting details'!H19)</f>
        <v/>
      </c>
      <c r="AA43" s="17" t="str">
        <f>IF('Gifting details'!I19="","",IF(AND(AC43&lt;7,'Gifting details'!I19="PET"),"Chargeable Transfer",'Gifting details'!I19))</f>
        <v/>
      </c>
      <c r="AB43" s="21" t="str">
        <f>IF('Gifting details'!J19="","",'Gifting details'!J19)</f>
        <v/>
      </c>
      <c r="AC43" s="41" t="str">
        <f>IF('Gifting details'!M19="","",'Gifting details'!M19)</f>
        <v/>
      </c>
      <c r="AD43" s="42" cm="1">
        <f t="array" ref="AD43">IFERROR(LOOKUP(2,1/((AC43&gt;=$J$63:$J$67)*(AC43&lt;=$K$63:$K$67)),$L$63:$L$67),0)</f>
        <v>0</v>
      </c>
      <c r="AE43" s="17" t="str">
        <f t="shared" si="4"/>
        <v/>
      </c>
      <c r="AF43" s="78">
        <f t="shared" si="5"/>
        <v>0</v>
      </c>
      <c r="AG43" s="47">
        <f>MAX(0,IF(AC43&gt;6,0,MAX(0,AB43-(MAX(0,AF$18-AF43)))*AD43)-'Gifting details'!AF19)</f>
        <v>0</v>
      </c>
    </row>
    <row r="44" spans="1:33" x14ac:dyDescent="0.25">
      <c r="A44" s="17">
        <v>47944</v>
      </c>
      <c r="B44" s="17">
        <v>48309</v>
      </c>
      <c r="C44" s="21">
        <f t="shared" si="7"/>
        <v>338130</v>
      </c>
      <c r="F44" s="17">
        <v>54884</v>
      </c>
      <c r="G44" s="17">
        <v>55248</v>
      </c>
      <c r="H44" s="21">
        <f t="shared" si="0"/>
        <v>265249</v>
      </c>
      <c r="J44" s="17" t="str">
        <f>IF('Gifting details'!C20="","",'Gifting details'!C20)</f>
        <v/>
      </c>
      <c r="K44" s="17" t="str">
        <f>IF('Gifting details'!D20="","",IF(AND(M44&lt;7,'Gifting details'!D20="PET"),"Chargeable Transfer",'Gifting details'!D20))</f>
        <v/>
      </c>
      <c r="L44" s="21" t="str">
        <f>IF('Gifting details'!E20="","",'Gifting details'!E20)</f>
        <v/>
      </c>
      <c r="M44" s="41" t="str">
        <f>IF('Gifting details'!F20="","",'Gifting details'!F20)</f>
        <v/>
      </c>
      <c r="N44" s="42" cm="1">
        <f t="array" ref="N44">IFERROR(LOOKUP(2,1/((M44&gt;=$J$63:$J$67)*(M44&lt;=$K$63:$K$67)),$L$63:$L$67),0)</f>
        <v>0</v>
      </c>
      <c r="O44" s="17" t="str">
        <f t="shared" si="1"/>
        <v/>
      </c>
      <c r="P44" s="21">
        <f t="shared" si="6"/>
        <v>0</v>
      </c>
      <c r="Q44" s="47">
        <f>MAX(0,IF(M44&gt;6,0,MAX(0,L44-(MAX(0,P$18-P44)))*N44)-'Gifting details'!X20)</f>
        <v>0</v>
      </c>
      <c r="R44" s="17" t="str">
        <f>IF('Gifting details'!C20="","",'Gifting details'!C20)</f>
        <v/>
      </c>
      <c r="S44" s="17" t="str">
        <f>IF('Gifting details'!D20="","",IF(AND(U44&lt;7,'Gifting details'!D20="PET"),"Chargeable Transfer",'Gifting details'!D20))</f>
        <v/>
      </c>
      <c r="T44" s="21" t="str">
        <f>IF('Gifting details'!E20="","",'Gifting details'!E20)</f>
        <v/>
      </c>
      <c r="U44" s="41" t="str">
        <f>IF('Gifting details'!B20="","",'Gifting details'!B20)</f>
        <v/>
      </c>
      <c r="V44" s="42" cm="1">
        <f t="array" ref="V44">IFERROR(LOOKUP(2,1/((U44&gt;=$J$63:$J$67)*(U44&lt;=$K$63:$K$67)),$L$63:$L$67),0)</f>
        <v>0</v>
      </c>
      <c r="W44" s="17" t="str">
        <f t="shared" si="2"/>
        <v/>
      </c>
      <c r="X44" s="21">
        <f t="shared" si="3"/>
        <v>0</v>
      </c>
      <c r="Y44" s="47">
        <f>MAX(0,IF(U44&gt;6,0,MAX(0,T44-(MAX(0,X$18-X44)))*V44)-'Gifting details'!X20)</f>
        <v>0</v>
      </c>
      <c r="Z44" s="17" t="str">
        <f>IF('Gifting details'!H20="","",'Gifting details'!H20)</f>
        <v/>
      </c>
      <c r="AA44" s="17" t="str">
        <f>IF('Gifting details'!I20="","",IF(AND(AC44&lt;7,'Gifting details'!I20="PET"),"Chargeable Transfer",'Gifting details'!I20))</f>
        <v/>
      </c>
      <c r="AB44" s="21" t="str">
        <f>IF('Gifting details'!J20="","",'Gifting details'!J20)</f>
        <v/>
      </c>
      <c r="AC44" s="41" t="str">
        <f>IF('Gifting details'!M20="","",'Gifting details'!M20)</f>
        <v/>
      </c>
      <c r="AD44" s="42" cm="1">
        <f t="array" ref="AD44">IFERROR(LOOKUP(2,1/((AC44&gt;=$J$63:$J$67)*(AC44&lt;=$K$63:$K$67)),$L$63:$L$67),0)</f>
        <v>0</v>
      </c>
      <c r="AE44" s="17" t="str">
        <f t="shared" si="4"/>
        <v/>
      </c>
      <c r="AF44" s="78">
        <f t="shared" si="5"/>
        <v>0</v>
      </c>
      <c r="AG44" s="47">
        <f>MAX(0,IF(AC44&gt;6,0,MAX(0,AB44-(MAX(0,AF$18-AF44)))*AD44)-'Gifting details'!AF20)</f>
        <v>0</v>
      </c>
    </row>
    <row r="45" spans="1:33" x14ac:dyDescent="0.25">
      <c r="A45" s="17">
        <v>48310</v>
      </c>
      <c r="B45" s="17">
        <v>48674</v>
      </c>
      <c r="C45" s="21">
        <f t="shared" si="7"/>
        <v>344893</v>
      </c>
      <c r="F45" s="17">
        <v>55249</v>
      </c>
      <c r="G45" s="17">
        <v>55614</v>
      </c>
      <c r="H45" s="21">
        <f t="shared" si="0"/>
        <v>270554</v>
      </c>
      <c r="J45" s="17" t="str">
        <f>IF('Gifting details'!C21="","",'Gifting details'!C21)</f>
        <v/>
      </c>
      <c r="K45" s="17" t="str">
        <f>IF('Gifting details'!D21="","",IF(AND(M45&lt;7,'Gifting details'!D21="PET"),"Chargeable Transfer",'Gifting details'!D21))</f>
        <v/>
      </c>
      <c r="L45" s="21" t="str">
        <f>IF('Gifting details'!E21="","",'Gifting details'!E21)</f>
        <v/>
      </c>
      <c r="M45" s="41" t="str">
        <f>IF('Gifting details'!F21="","",'Gifting details'!F21)</f>
        <v/>
      </c>
      <c r="N45" s="42" cm="1">
        <f t="array" ref="N45">IFERROR(LOOKUP(2,1/((M45&gt;=$J$63:$J$67)*(M45&lt;=$K$63:$K$67)),$L$63:$L$67),0)</f>
        <v>0</v>
      </c>
      <c r="O45" s="17" t="str">
        <f t="shared" si="1"/>
        <v/>
      </c>
      <c r="P45" s="21">
        <f t="shared" si="6"/>
        <v>0</v>
      </c>
      <c r="Q45" s="47">
        <f>MAX(0,IF(M45&gt;6,0,MAX(0,L45-(MAX(0,P$18-P45)))*N45)-'Gifting details'!X21)</f>
        <v>0</v>
      </c>
      <c r="R45" s="17" t="str">
        <f>IF('Gifting details'!C21="","",'Gifting details'!C21)</f>
        <v/>
      </c>
      <c r="S45" s="17" t="str">
        <f>IF('Gifting details'!D21="","",IF(AND(U45&lt;7,'Gifting details'!D21="PET"),"Chargeable Transfer",'Gifting details'!D21))</f>
        <v/>
      </c>
      <c r="T45" s="21" t="str">
        <f>IF('Gifting details'!E21="","",'Gifting details'!E21)</f>
        <v/>
      </c>
      <c r="U45" s="41" t="str">
        <f>IF('Gifting details'!B21="","",'Gifting details'!B21)</f>
        <v/>
      </c>
      <c r="V45" s="42" cm="1">
        <f t="array" ref="V45">IFERROR(LOOKUP(2,1/((U45&gt;=$J$63:$J$67)*(U45&lt;=$K$63:$K$67)),$L$63:$L$67),0)</f>
        <v>0</v>
      </c>
      <c r="W45" s="17" t="str">
        <f t="shared" si="2"/>
        <v/>
      </c>
      <c r="X45" s="21">
        <f t="shared" si="3"/>
        <v>0</v>
      </c>
      <c r="Y45" s="47">
        <f>MAX(0,IF(U45&gt;6,0,MAX(0,T45-(MAX(0,X$18-X45)))*V45)-'Gifting details'!X21)</f>
        <v>0</v>
      </c>
      <c r="Z45" s="17" t="str">
        <f>IF('Gifting details'!H21="","",'Gifting details'!H21)</f>
        <v/>
      </c>
      <c r="AA45" s="17" t="str">
        <f>IF('Gifting details'!I21="","",IF(AND(AC45&lt;7,'Gifting details'!I21="PET"),"Chargeable Transfer",'Gifting details'!I21))</f>
        <v/>
      </c>
      <c r="AB45" s="21" t="str">
        <f>IF('Gifting details'!J21="","",'Gifting details'!J21)</f>
        <v/>
      </c>
      <c r="AC45" s="41" t="str">
        <f>IF('Gifting details'!M21="","",'Gifting details'!M21)</f>
        <v/>
      </c>
      <c r="AD45" s="42" cm="1">
        <f t="array" ref="AD45">IFERROR(LOOKUP(2,1/((AC45&gt;=$J$63:$J$67)*(AC45&lt;=$K$63:$K$67)),$L$63:$L$67),0)</f>
        <v>0</v>
      </c>
      <c r="AE45" s="17" t="str">
        <f t="shared" si="4"/>
        <v/>
      </c>
      <c r="AF45" s="78">
        <f t="shared" si="5"/>
        <v>0</v>
      </c>
      <c r="AG45" s="47">
        <f>MAX(0,IF(AC45&gt;6,0,MAX(0,AB45-(MAX(0,AF$18-AF45)))*AD45)-'Gifting details'!AF21)</f>
        <v>0</v>
      </c>
    </row>
    <row r="46" spans="1:33" x14ac:dyDescent="0.25">
      <c r="A46" s="17">
        <v>48675</v>
      </c>
      <c r="B46" s="17">
        <v>49039</v>
      </c>
      <c r="C46" s="21">
        <f t="shared" si="7"/>
        <v>351791</v>
      </c>
      <c r="F46" s="17">
        <v>55615</v>
      </c>
      <c r="G46" s="17">
        <v>55979</v>
      </c>
      <c r="H46" s="21">
        <f t="shared" si="0"/>
        <v>275966</v>
      </c>
      <c r="J46" s="17" t="str">
        <f>IF('Gifting details'!C22="","",'Gifting details'!C22)</f>
        <v/>
      </c>
      <c r="K46" s="17" t="str">
        <f>IF('Gifting details'!D22="","",IF(AND(M46&lt;7,'Gifting details'!D22="PET"),"Chargeable Transfer",'Gifting details'!D22))</f>
        <v/>
      </c>
      <c r="L46" s="21" t="str">
        <f>IF('Gifting details'!E22="","",'Gifting details'!E22)</f>
        <v/>
      </c>
      <c r="M46" s="41" t="str">
        <f>IF('Gifting details'!F22="","",'Gifting details'!F22)</f>
        <v/>
      </c>
      <c r="N46" s="42" cm="1">
        <f t="array" ref="N46">IFERROR(LOOKUP(2,1/((M46&gt;=$J$63:$J$67)*(M46&lt;=$K$63:$K$67)),$L$63:$L$67),0)</f>
        <v>0</v>
      </c>
      <c r="O46" s="17" t="str">
        <f t="shared" si="1"/>
        <v/>
      </c>
      <c r="P46" s="21">
        <f t="shared" si="6"/>
        <v>0</v>
      </c>
      <c r="Q46" s="47">
        <f>MAX(0,IF(M46&gt;6,0,MAX(0,L46-(MAX(0,P$18-P46)))*N46)-'Gifting details'!X22)</f>
        <v>0</v>
      </c>
      <c r="R46" s="17" t="str">
        <f>IF('Gifting details'!C22="","",'Gifting details'!C22)</f>
        <v/>
      </c>
      <c r="S46" s="17" t="str">
        <f>IF('Gifting details'!D22="","",IF(AND(U46&lt;7,'Gifting details'!D22="PET"),"Chargeable Transfer",'Gifting details'!D22))</f>
        <v/>
      </c>
      <c r="T46" s="21" t="str">
        <f>IF('Gifting details'!E22="","",'Gifting details'!E22)</f>
        <v/>
      </c>
      <c r="U46" s="41" t="str">
        <f>IF('Gifting details'!B22="","",'Gifting details'!B22)</f>
        <v/>
      </c>
      <c r="V46" s="42" cm="1">
        <f t="array" ref="V46">IFERROR(LOOKUP(2,1/((U46&gt;=$J$63:$J$67)*(U46&lt;=$K$63:$K$67)),$L$63:$L$67),0)</f>
        <v>0</v>
      </c>
      <c r="W46" s="17" t="str">
        <f t="shared" si="2"/>
        <v/>
      </c>
      <c r="X46" s="21">
        <f t="shared" si="3"/>
        <v>0</v>
      </c>
      <c r="Y46" s="47">
        <f>MAX(0,IF(U46&gt;6,0,MAX(0,T46-(MAX(0,X$18-X46)))*V46)-'Gifting details'!X22)</f>
        <v>0</v>
      </c>
      <c r="Z46" s="17" t="str">
        <f>IF('Gifting details'!H22="","",'Gifting details'!H22)</f>
        <v/>
      </c>
      <c r="AA46" s="17" t="str">
        <f>IF('Gifting details'!I22="","",IF(AND(AC46&lt;7,'Gifting details'!I22="PET"),"Chargeable Transfer",'Gifting details'!I22))</f>
        <v/>
      </c>
      <c r="AB46" s="21" t="str">
        <f>IF('Gifting details'!J22="","",'Gifting details'!J22)</f>
        <v/>
      </c>
      <c r="AC46" s="41" t="str">
        <f>IF('Gifting details'!M22="","",'Gifting details'!M22)</f>
        <v/>
      </c>
      <c r="AD46" s="42" cm="1">
        <f t="array" ref="AD46">IFERROR(LOOKUP(2,1/((AC46&gt;=$J$63:$J$67)*(AC46&lt;=$K$63:$K$67)),$L$63:$L$67),0)</f>
        <v>0</v>
      </c>
      <c r="AE46" s="17" t="str">
        <f t="shared" si="4"/>
        <v/>
      </c>
      <c r="AF46" s="78">
        <f t="shared" si="5"/>
        <v>0</v>
      </c>
      <c r="AG46" s="47">
        <f>MAX(0,IF(AC46&gt;6,0,MAX(0,AB46-(MAX(0,AF$18-AF46)))*AD46)-'Gifting details'!AF22)</f>
        <v>0</v>
      </c>
    </row>
    <row r="47" spans="1:33" x14ac:dyDescent="0.25">
      <c r="A47" s="17">
        <v>49040</v>
      </c>
      <c r="B47" s="17">
        <v>49404</v>
      </c>
      <c r="C47" s="21">
        <f t="shared" si="7"/>
        <v>358827</v>
      </c>
      <c r="F47" s="17">
        <v>55980</v>
      </c>
      <c r="G47" s="17">
        <v>56344</v>
      </c>
      <c r="H47" s="21">
        <f t="shared" si="0"/>
        <v>281486</v>
      </c>
      <c r="J47" s="17" t="str">
        <f>IF('Gifting details'!C23="","",'Gifting details'!C23)</f>
        <v/>
      </c>
      <c r="K47" s="17" t="str">
        <f>IF('Gifting details'!D23="","",IF(AND(M47&lt;7,'Gifting details'!D23="PET"),"Chargeable Transfer",'Gifting details'!D23))</f>
        <v/>
      </c>
      <c r="L47" s="21" t="str">
        <f>IF('Gifting details'!E23="","",'Gifting details'!E23)</f>
        <v/>
      </c>
      <c r="M47" s="41" t="str">
        <f>IF('Gifting details'!F23="","",'Gifting details'!F23)</f>
        <v/>
      </c>
      <c r="N47" s="42" cm="1">
        <f t="array" ref="N47">IFERROR(LOOKUP(2,1/((M47&gt;=$J$63:$J$67)*(M47&lt;=$K$63:$K$67)),$L$63:$L$67),0)</f>
        <v>0</v>
      </c>
      <c r="O47" s="17" t="str">
        <f t="shared" si="1"/>
        <v/>
      </c>
      <c r="P47" s="21">
        <f t="shared" si="6"/>
        <v>0</v>
      </c>
      <c r="Q47" s="47">
        <f>MAX(0,IF(M47&gt;6,0,MAX(0,L47-(MAX(0,P$18-P47)))*N47)-'Gifting details'!X23)</f>
        <v>0</v>
      </c>
      <c r="R47" s="17" t="str">
        <f>IF('Gifting details'!C23="","",'Gifting details'!C23)</f>
        <v/>
      </c>
      <c r="S47" s="17" t="str">
        <f>IF('Gifting details'!D23="","",IF(AND(U47&lt;7,'Gifting details'!D23="PET"),"Chargeable Transfer",'Gifting details'!D23))</f>
        <v/>
      </c>
      <c r="T47" s="21" t="str">
        <f>IF('Gifting details'!E23="","",'Gifting details'!E23)</f>
        <v/>
      </c>
      <c r="U47" s="41" t="str">
        <f>IF('Gifting details'!B23="","",'Gifting details'!B23)</f>
        <v/>
      </c>
      <c r="V47" s="42" cm="1">
        <f t="array" ref="V47">IFERROR(LOOKUP(2,1/((U47&gt;=$J$63:$J$67)*(U47&lt;=$K$63:$K$67)),$L$63:$L$67),0)</f>
        <v>0</v>
      </c>
      <c r="W47" s="17" t="str">
        <f t="shared" si="2"/>
        <v/>
      </c>
      <c r="X47" s="21">
        <f t="shared" si="3"/>
        <v>0</v>
      </c>
      <c r="Y47" s="47">
        <f>MAX(0,IF(U47&gt;6,0,MAX(0,T47-(MAX(0,X$18-X47)))*V47)-'Gifting details'!X23)</f>
        <v>0</v>
      </c>
      <c r="Z47" s="17" t="str">
        <f>IF('Gifting details'!H23="","",'Gifting details'!H23)</f>
        <v/>
      </c>
      <c r="AA47" s="17" t="str">
        <f>IF('Gifting details'!I23="","",IF(AND(AC47&lt;7,'Gifting details'!I23="PET"),"Chargeable Transfer",'Gifting details'!I23))</f>
        <v/>
      </c>
      <c r="AB47" s="21" t="str">
        <f>IF('Gifting details'!J23="","",'Gifting details'!J23)</f>
        <v/>
      </c>
      <c r="AC47" s="41" t="str">
        <f>IF('Gifting details'!M23="","",'Gifting details'!M23)</f>
        <v/>
      </c>
      <c r="AD47" s="42" cm="1">
        <f t="array" ref="AD47">IFERROR(LOOKUP(2,1/((AC47&gt;=$J$63:$J$67)*(AC47&lt;=$K$63:$K$67)),$L$63:$L$67),0)</f>
        <v>0</v>
      </c>
      <c r="AE47" s="17" t="str">
        <f t="shared" si="4"/>
        <v/>
      </c>
      <c r="AF47" s="78">
        <f t="shared" si="5"/>
        <v>0</v>
      </c>
      <c r="AG47" s="47">
        <f>MAX(0,IF(AC47&gt;6,0,MAX(0,AB47-(MAX(0,AF$18-AF47)))*AD47)-'Gifting details'!AF23)</f>
        <v>0</v>
      </c>
    </row>
    <row r="48" spans="1:33" x14ac:dyDescent="0.25">
      <c r="A48" s="17">
        <v>49405</v>
      </c>
      <c r="B48" s="17">
        <v>49770</v>
      </c>
      <c r="C48" s="21">
        <f t="shared" si="7"/>
        <v>366004</v>
      </c>
      <c r="F48" s="17">
        <v>56345</v>
      </c>
      <c r="G48" s="17">
        <v>56709</v>
      </c>
      <c r="H48" s="21">
        <f t="shared" si="0"/>
        <v>287116</v>
      </c>
      <c r="J48" s="17" t="str">
        <f>IF('Gifting details'!C24="","",'Gifting details'!C24)</f>
        <v/>
      </c>
      <c r="K48" s="17" t="str">
        <f>IF('Gifting details'!D24="","",IF(AND(M48&lt;7,'Gifting details'!D24="PET"),"Chargeable Transfer",'Gifting details'!D24))</f>
        <v/>
      </c>
      <c r="L48" s="21" t="str">
        <f>IF('Gifting details'!E24="","",'Gifting details'!E24)</f>
        <v/>
      </c>
      <c r="M48" s="41" t="str">
        <f>IF('Gifting details'!F24="","",'Gifting details'!F24)</f>
        <v/>
      </c>
      <c r="N48" s="42" cm="1">
        <f t="array" ref="N48">IFERROR(LOOKUP(2,1/((M48&gt;=$J$63:$J$67)*(M48&lt;=$K$63:$K$67)),$L$63:$L$67),0)</f>
        <v>0</v>
      </c>
      <c r="O48" s="17" t="str">
        <f t="shared" si="1"/>
        <v/>
      </c>
      <c r="P48" s="21">
        <f t="shared" si="6"/>
        <v>0</v>
      </c>
      <c r="Q48" s="47">
        <f>MAX(0,IF(M48&gt;6,0,MAX(0,L48-(MAX(0,P$18-P48)))*N48)-'Gifting details'!X24)</f>
        <v>0</v>
      </c>
      <c r="R48" s="17" t="str">
        <f>IF('Gifting details'!C24="","",'Gifting details'!C24)</f>
        <v/>
      </c>
      <c r="S48" s="17" t="str">
        <f>IF('Gifting details'!D24="","",IF(AND(U48&lt;7,'Gifting details'!D24="PET"),"Chargeable Transfer",'Gifting details'!D24))</f>
        <v/>
      </c>
      <c r="T48" s="21" t="str">
        <f>IF('Gifting details'!E24="","",'Gifting details'!E24)</f>
        <v/>
      </c>
      <c r="U48" s="41" t="str">
        <f>IF('Gifting details'!B24="","",'Gifting details'!B24)</f>
        <v/>
      </c>
      <c r="V48" s="42" cm="1">
        <f t="array" ref="V48">IFERROR(LOOKUP(2,1/((U48&gt;=$J$63:$J$67)*(U48&lt;=$K$63:$K$67)),$L$63:$L$67),0)</f>
        <v>0</v>
      </c>
      <c r="W48" s="17" t="str">
        <f t="shared" si="2"/>
        <v/>
      </c>
      <c r="X48" s="21">
        <f t="shared" si="3"/>
        <v>0</v>
      </c>
      <c r="Y48" s="47">
        <f>MAX(0,IF(U48&gt;6,0,MAX(0,T48-(MAX(0,X$18-X48)))*V48)-'Gifting details'!X24)</f>
        <v>0</v>
      </c>
      <c r="Z48" s="17" t="str">
        <f>IF('Gifting details'!H24="","",'Gifting details'!H24)</f>
        <v/>
      </c>
      <c r="AA48" s="17" t="str">
        <f>IF('Gifting details'!I24="","",IF(AND(AC48&lt;7,'Gifting details'!I24="PET"),"Chargeable Transfer",'Gifting details'!I24))</f>
        <v/>
      </c>
      <c r="AB48" s="21" t="str">
        <f>IF('Gifting details'!J24="","",'Gifting details'!J24)</f>
        <v/>
      </c>
      <c r="AC48" s="41" t="str">
        <f>IF('Gifting details'!M24="","",'Gifting details'!M24)</f>
        <v/>
      </c>
      <c r="AD48" s="42" cm="1">
        <f t="array" ref="AD48">IFERROR(LOOKUP(2,1/((AC48&gt;=$J$63:$J$67)*(AC48&lt;=$K$63:$K$67)),$L$63:$L$67),0)</f>
        <v>0</v>
      </c>
      <c r="AE48" s="17" t="str">
        <f t="shared" si="4"/>
        <v/>
      </c>
      <c r="AF48" s="78">
        <f t="shared" si="5"/>
        <v>0</v>
      </c>
      <c r="AG48" s="47">
        <f>MAX(0,IF(AC48&gt;6,0,MAX(0,AB48-(MAX(0,AF$18-AF48)))*AD48)-'Gifting details'!AF24)</f>
        <v>0</v>
      </c>
    </row>
    <row r="49" spans="1:33" x14ac:dyDescent="0.25">
      <c r="A49" s="17">
        <v>49771</v>
      </c>
      <c r="B49" s="17">
        <v>50135</v>
      </c>
      <c r="C49" s="21">
        <f t="shared" si="7"/>
        <v>373325</v>
      </c>
      <c r="F49" s="17">
        <v>56710</v>
      </c>
      <c r="G49" s="17">
        <v>57075</v>
      </c>
      <c r="H49" s="21">
        <f t="shared" si="0"/>
        <v>292859</v>
      </c>
      <c r="J49" s="17" t="str">
        <f>IF('Gifting details'!C25="","",'Gifting details'!C25)</f>
        <v/>
      </c>
      <c r="K49" s="17" t="str">
        <f>IF('Gifting details'!D25="","",IF(AND(M49&lt;7,'Gifting details'!D25="PET"),"Chargeable Transfer",'Gifting details'!D25))</f>
        <v/>
      </c>
      <c r="L49" s="21" t="str">
        <f>IF('Gifting details'!E25="","",'Gifting details'!E25)</f>
        <v/>
      </c>
      <c r="M49" s="41" t="str">
        <f>IF('Gifting details'!F25="","",'Gifting details'!F25)</f>
        <v/>
      </c>
      <c r="N49" s="42" cm="1">
        <f t="array" ref="N49">IFERROR(LOOKUP(2,1/((M49&gt;=$J$63:$J$67)*(M49&lt;=$K$63:$K$67)),$L$63:$L$67),0)</f>
        <v>0</v>
      </c>
      <c r="O49" s="17" t="str">
        <f t="shared" si="1"/>
        <v/>
      </c>
      <c r="P49" s="21">
        <f t="shared" si="6"/>
        <v>0</v>
      </c>
      <c r="Q49" s="47">
        <f>MAX(0,IF(M49&gt;6,0,MAX(0,L49-(MAX(0,P$18-P49)))*N49)-'Gifting details'!X25)</f>
        <v>0</v>
      </c>
      <c r="R49" s="17" t="str">
        <f>IF('Gifting details'!C25="","",'Gifting details'!C25)</f>
        <v/>
      </c>
      <c r="S49" s="17" t="str">
        <f>IF('Gifting details'!D25="","",IF(AND(U49&lt;7,'Gifting details'!D25="PET"),"Chargeable Transfer",'Gifting details'!D25))</f>
        <v/>
      </c>
      <c r="T49" s="21" t="str">
        <f>IF('Gifting details'!E25="","",'Gifting details'!E25)</f>
        <v/>
      </c>
      <c r="U49" s="41" t="str">
        <f>IF('Gifting details'!B25="","",'Gifting details'!B25)</f>
        <v/>
      </c>
      <c r="V49" s="42" cm="1">
        <f t="array" ref="V49">IFERROR(LOOKUP(2,1/((U49&gt;=$J$63:$J$67)*(U49&lt;=$K$63:$K$67)),$L$63:$L$67),0)</f>
        <v>0</v>
      </c>
      <c r="W49" s="17" t="str">
        <f t="shared" si="2"/>
        <v/>
      </c>
      <c r="X49" s="21">
        <f t="shared" si="3"/>
        <v>0</v>
      </c>
      <c r="Y49" s="47">
        <f>MAX(0,IF(U49&gt;6,0,MAX(0,T49-(MAX(0,X$18-X49)))*V49)-'Gifting details'!X25)</f>
        <v>0</v>
      </c>
      <c r="Z49" s="17" t="str">
        <f>IF('Gifting details'!H25="","",'Gifting details'!H25)</f>
        <v/>
      </c>
      <c r="AA49" s="17" t="str">
        <f>IF('Gifting details'!I25="","",IF(AND(AC49&lt;7,'Gifting details'!I25="PET"),"Chargeable Transfer",'Gifting details'!I25))</f>
        <v/>
      </c>
      <c r="AB49" s="21" t="str">
        <f>IF('Gifting details'!J25="","",'Gifting details'!J25)</f>
        <v/>
      </c>
      <c r="AC49" s="41" t="str">
        <f>IF('Gifting details'!M25="","",'Gifting details'!M25)</f>
        <v/>
      </c>
      <c r="AD49" s="42" cm="1">
        <f t="array" ref="AD49">IFERROR(LOOKUP(2,1/((AC49&gt;=$J$63:$J$67)*(AC49&lt;=$K$63:$K$67)),$L$63:$L$67),0)</f>
        <v>0</v>
      </c>
      <c r="AE49" s="17" t="str">
        <f t="shared" si="4"/>
        <v/>
      </c>
      <c r="AF49" s="78">
        <f t="shared" si="5"/>
        <v>0</v>
      </c>
      <c r="AG49" s="47">
        <f>MAX(0,IF(AC49&gt;6,0,MAX(0,AB49-(MAX(0,AF$18-AF49)))*AD49)-'Gifting details'!AF25)</f>
        <v>0</v>
      </c>
    </row>
    <row r="50" spans="1:33" x14ac:dyDescent="0.25">
      <c r="A50" s="17">
        <v>50136</v>
      </c>
      <c r="B50" s="17">
        <v>50500</v>
      </c>
      <c r="C50" s="21">
        <f t="shared" si="7"/>
        <v>380792</v>
      </c>
      <c r="F50" s="17">
        <v>57076</v>
      </c>
      <c r="G50" s="17">
        <v>57440</v>
      </c>
      <c r="H50" s="21">
        <f t="shared" si="0"/>
        <v>298717</v>
      </c>
      <c r="J50" s="17" t="str">
        <f>IF('Gifting details'!C26="","",'Gifting details'!C26)</f>
        <v/>
      </c>
      <c r="K50" s="17" t="str">
        <f>IF('Gifting details'!D26="","",IF(AND(M50&lt;7,'Gifting details'!D26="PET"),"Chargeable Transfer",'Gifting details'!D26))</f>
        <v/>
      </c>
      <c r="L50" s="21" t="str">
        <f>IF('Gifting details'!E26="","",'Gifting details'!E26)</f>
        <v/>
      </c>
      <c r="M50" s="41" t="str">
        <f>IF('Gifting details'!F26="","",'Gifting details'!F26)</f>
        <v/>
      </c>
      <c r="N50" s="42" cm="1">
        <f t="array" ref="N50">IFERROR(LOOKUP(2,1/((M50&gt;=$J$63:$J$67)*(M50&lt;=$K$63:$K$67)),$L$63:$L$67),0)</f>
        <v>0</v>
      </c>
      <c r="O50" s="17" t="str">
        <f t="shared" si="1"/>
        <v/>
      </c>
      <c r="P50" s="21">
        <f t="shared" si="6"/>
        <v>0</v>
      </c>
      <c r="Q50" s="47">
        <f>MAX(0,IF(M50&gt;6,0,MAX(0,L50-(MAX(0,P$18-P50)))*N50)-'Gifting details'!X26)</f>
        <v>0</v>
      </c>
      <c r="R50" s="17" t="str">
        <f>IF('Gifting details'!C26="","",'Gifting details'!C26)</f>
        <v/>
      </c>
      <c r="S50" s="17" t="str">
        <f>IF('Gifting details'!D26="","",IF(AND(U50&lt;7,'Gifting details'!D26="PET"),"Chargeable Transfer",'Gifting details'!D26))</f>
        <v/>
      </c>
      <c r="T50" s="21" t="str">
        <f>IF('Gifting details'!E26="","",'Gifting details'!E26)</f>
        <v/>
      </c>
      <c r="U50" s="41" t="str">
        <f>IF('Gifting details'!B26="","",'Gifting details'!B26)</f>
        <v/>
      </c>
      <c r="V50" s="42" cm="1">
        <f t="array" ref="V50">IFERROR(LOOKUP(2,1/((U50&gt;=$J$63:$J$67)*(U50&lt;=$K$63:$K$67)),$L$63:$L$67),0)</f>
        <v>0</v>
      </c>
      <c r="W50" s="17" t="str">
        <f t="shared" si="2"/>
        <v/>
      </c>
      <c r="X50" s="21">
        <f t="shared" si="3"/>
        <v>0</v>
      </c>
      <c r="Y50" s="47">
        <f>MAX(0,IF(U50&gt;6,0,MAX(0,T50-(MAX(0,X$18-X50)))*V50)-'Gifting details'!X26)</f>
        <v>0</v>
      </c>
      <c r="Z50" s="17" t="str">
        <f>IF('Gifting details'!H26="","",'Gifting details'!H26)</f>
        <v/>
      </c>
      <c r="AA50" s="17" t="str">
        <f>IF('Gifting details'!I26="","",IF(AND(AC50&lt;7,'Gifting details'!I26="PET"),"Chargeable Transfer",'Gifting details'!I26))</f>
        <v/>
      </c>
      <c r="AB50" s="21" t="str">
        <f>IF('Gifting details'!J26="","",'Gifting details'!J26)</f>
        <v/>
      </c>
      <c r="AC50" s="41" t="str">
        <f>IF('Gifting details'!M26="","",'Gifting details'!M26)</f>
        <v/>
      </c>
      <c r="AD50" s="42" cm="1">
        <f t="array" ref="AD50">IFERROR(LOOKUP(2,1/((AC50&gt;=$J$63:$J$67)*(AC50&lt;=$K$63:$K$67)),$L$63:$L$67),0)</f>
        <v>0</v>
      </c>
      <c r="AE50" s="17" t="str">
        <f t="shared" si="4"/>
        <v/>
      </c>
      <c r="AF50" s="78">
        <f t="shared" si="5"/>
        <v>0</v>
      </c>
      <c r="AG50" s="47">
        <f>MAX(0,IF(AC50&gt;6,0,MAX(0,AB50-(MAX(0,AF$18-AF50)))*AD50)-'Gifting details'!AF26)</f>
        <v>0</v>
      </c>
    </row>
    <row r="51" spans="1:33" x14ac:dyDescent="0.25">
      <c r="A51" s="17">
        <v>50501</v>
      </c>
      <c r="B51" s="17">
        <v>50865</v>
      </c>
      <c r="C51" s="21">
        <f t="shared" si="7"/>
        <v>388408</v>
      </c>
      <c r="F51" s="17">
        <v>57441</v>
      </c>
      <c r="G51" s="17">
        <v>57805</v>
      </c>
      <c r="H51" s="21">
        <f t="shared" si="0"/>
        <v>304692</v>
      </c>
      <c r="J51" s="17" t="str">
        <f>IF('Gifting details'!C27="","",'Gifting details'!C27)</f>
        <v/>
      </c>
      <c r="K51" s="17" t="str">
        <f>IF('Gifting details'!D27="","",IF(AND(M51&lt;7,'Gifting details'!D27="PET"),"Chargeable Transfer",'Gifting details'!D27))</f>
        <v/>
      </c>
      <c r="L51" s="21" t="str">
        <f>IF('Gifting details'!E27="","",'Gifting details'!E27)</f>
        <v/>
      </c>
      <c r="M51" s="41" t="str">
        <f>IF('Gifting details'!F27="","",'Gifting details'!F27)</f>
        <v/>
      </c>
      <c r="N51" s="42" cm="1">
        <f t="array" ref="N51">IFERROR(LOOKUP(2,1/((M51&gt;=$J$63:$J$67)*(M51&lt;=$K$63:$K$67)),$L$63:$L$67),0)</f>
        <v>0</v>
      </c>
      <c r="O51" s="17" t="str">
        <f t="shared" si="1"/>
        <v/>
      </c>
      <c r="P51" s="21">
        <f t="shared" si="6"/>
        <v>0</v>
      </c>
      <c r="Q51" s="47">
        <f>MAX(0,IF(M51&gt;6,0,MAX(0,L51-(MAX(0,P$18-P51)))*N51)-'Gifting details'!X27)</f>
        <v>0</v>
      </c>
      <c r="R51" s="17" t="str">
        <f>IF('Gifting details'!C27="","",'Gifting details'!C27)</f>
        <v/>
      </c>
      <c r="S51" s="17" t="str">
        <f>IF('Gifting details'!D27="","",IF(AND(U51&lt;7,'Gifting details'!D27="PET"),"Chargeable Transfer",'Gifting details'!D27))</f>
        <v/>
      </c>
      <c r="T51" s="21" t="str">
        <f>IF('Gifting details'!E27="","",'Gifting details'!E27)</f>
        <v/>
      </c>
      <c r="U51" s="41" t="str">
        <f>IF('Gifting details'!B27="","",'Gifting details'!B27)</f>
        <v/>
      </c>
      <c r="V51" s="42" cm="1">
        <f t="array" ref="V51">IFERROR(LOOKUP(2,1/((U51&gt;=$J$63:$J$67)*(U51&lt;=$K$63:$K$67)),$L$63:$L$67),0)</f>
        <v>0</v>
      </c>
      <c r="W51" s="17" t="str">
        <f t="shared" si="2"/>
        <v/>
      </c>
      <c r="X51" s="21">
        <f t="shared" si="3"/>
        <v>0</v>
      </c>
      <c r="Y51" s="47">
        <f>MAX(0,IF(U51&gt;6,0,MAX(0,T51-(MAX(0,X$18-X51)))*V51)-'Gifting details'!X27)</f>
        <v>0</v>
      </c>
      <c r="Z51" s="17" t="str">
        <f>IF('Gifting details'!H27="","",'Gifting details'!H27)</f>
        <v/>
      </c>
      <c r="AA51" s="17" t="str">
        <f>IF('Gifting details'!I27="","",IF(AND(AC51&lt;7,'Gifting details'!I27="PET"),"Chargeable Transfer",'Gifting details'!I27))</f>
        <v/>
      </c>
      <c r="AB51" s="21" t="str">
        <f>IF('Gifting details'!J27="","",'Gifting details'!J27)</f>
        <v/>
      </c>
      <c r="AC51" s="41" t="str">
        <f>IF('Gifting details'!M27="","",'Gifting details'!M27)</f>
        <v/>
      </c>
      <c r="AD51" s="42" cm="1">
        <f t="array" ref="AD51">IFERROR(LOOKUP(2,1/((AC51&gt;=$J$63:$J$67)*(AC51&lt;=$K$63:$K$67)),$L$63:$L$67),0)</f>
        <v>0</v>
      </c>
      <c r="AE51" s="17" t="str">
        <f t="shared" si="4"/>
        <v/>
      </c>
      <c r="AF51" s="78">
        <f t="shared" si="5"/>
        <v>0</v>
      </c>
      <c r="AG51" s="47">
        <f>MAX(0,IF(AC51&gt;6,0,MAX(0,AB51-(MAX(0,AF$18-AF51)))*AD51)-'Gifting details'!AF27)</f>
        <v>0</v>
      </c>
    </row>
    <row r="52" spans="1:33" x14ac:dyDescent="0.25">
      <c r="A52" s="17">
        <v>50866</v>
      </c>
      <c r="B52" s="17">
        <v>51231</v>
      </c>
      <c r="C52" s="21">
        <f t="shared" si="7"/>
        <v>396177</v>
      </c>
      <c r="F52" s="17">
        <v>57806</v>
      </c>
      <c r="G52" s="17">
        <v>58170</v>
      </c>
      <c r="H52" s="21">
        <f t="shared" si="0"/>
        <v>310786</v>
      </c>
      <c r="J52" s="17" t="str">
        <f>IF('Gifting details'!C28="","",'Gifting details'!C28)</f>
        <v/>
      </c>
      <c r="K52" s="17" t="str">
        <f>IF('Gifting details'!D28="","",IF(AND(M52&lt;7,'Gifting details'!D28="PET"),"Chargeable Transfer",'Gifting details'!D28))</f>
        <v/>
      </c>
      <c r="L52" s="21" t="str">
        <f>IF('Gifting details'!E28="","",'Gifting details'!E28)</f>
        <v/>
      </c>
      <c r="M52" s="41" t="str">
        <f>IF('Gifting details'!F28="","",'Gifting details'!F28)</f>
        <v/>
      </c>
      <c r="N52" s="42" cm="1">
        <f t="array" ref="N52">IFERROR(LOOKUP(2,1/((M52&gt;=$J$63:$J$67)*(M52&lt;=$K$63:$K$67)),$L$63:$L$67),0)</f>
        <v>0</v>
      </c>
      <c r="O52" s="17" t="str">
        <f t="shared" si="1"/>
        <v/>
      </c>
      <c r="P52" s="21">
        <f t="shared" si="6"/>
        <v>0</v>
      </c>
      <c r="Q52" s="47">
        <f>MAX(0,IF(M52&gt;6,0,MAX(0,L52-(MAX(0,P$18-P52)))*N52)-'Gifting details'!X28)</f>
        <v>0</v>
      </c>
      <c r="R52" s="17" t="str">
        <f>IF('Gifting details'!C28="","",'Gifting details'!C28)</f>
        <v/>
      </c>
      <c r="S52" s="17" t="str">
        <f>IF('Gifting details'!D28="","",IF(AND(U52&lt;7,'Gifting details'!D28="PET"),"Chargeable Transfer",'Gifting details'!D28))</f>
        <v/>
      </c>
      <c r="T52" s="21" t="str">
        <f>IF('Gifting details'!E28="","",'Gifting details'!E28)</f>
        <v/>
      </c>
      <c r="U52" s="41" t="str">
        <f>IF('Gifting details'!B28="","",'Gifting details'!B28)</f>
        <v/>
      </c>
      <c r="V52" s="42" cm="1">
        <f t="array" ref="V52">IFERROR(LOOKUP(2,1/((U52&gt;=$J$63:$J$67)*(U52&lt;=$K$63:$K$67)),$L$63:$L$67),0)</f>
        <v>0</v>
      </c>
      <c r="W52" s="17" t="str">
        <f t="shared" si="2"/>
        <v/>
      </c>
      <c r="X52" s="21">
        <f t="shared" si="3"/>
        <v>0</v>
      </c>
      <c r="Y52" s="47">
        <f>MAX(0,IF(U52&gt;6,0,MAX(0,T52-(MAX(0,X$18-X52)))*V52)-'Gifting details'!X28)</f>
        <v>0</v>
      </c>
      <c r="Z52" s="17" t="str">
        <f>IF('Gifting details'!H28="","",'Gifting details'!H28)</f>
        <v/>
      </c>
      <c r="AA52" s="17" t="str">
        <f>IF('Gifting details'!I28="","",IF(AND(AC52&lt;7,'Gifting details'!I28="PET"),"Chargeable Transfer",'Gifting details'!I28))</f>
        <v/>
      </c>
      <c r="AB52" s="21" t="str">
        <f>IF('Gifting details'!J28="","",'Gifting details'!J28)</f>
        <v/>
      </c>
      <c r="AC52" s="41" t="str">
        <f>IF('Gifting details'!M28="","",'Gifting details'!M28)</f>
        <v/>
      </c>
      <c r="AD52" s="42" cm="1">
        <f t="array" ref="AD52">IFERROR(LOOKUP(2,1/((AC52&gt;=$J$63:$J$67)*(AC52&lt;=$K$63:$K$67)),$L$63:$L$67),0)</f>
        <v>0</v>
      </c>
      <c r="AE52" s="17" t="str">
        <f t="shared" si="4"/>
        <v/>
      </c>
      <c r="AF52" s="78">
        <f t="shared" si="5"/>
        <v>0</v>
      </c>
      <c r="AG52" s="47">
        <f>MAX(0,IF(AC52&gt;6,0,MAX(0,AB52-(MAX(0,AF$18-AF52)))*AD52)-'Gifting details'!AF28)</f>
        <v>0</v>
      </c>
    </row>
    <row r="53" spans="1:33" x14ac:dyDescent="0.25">
      <c r="A53" s="17">
        <v>51232</v>
      </c>
      <c r="B53" s="17">
        <v>51596</v>
      </c>
      <c r="C53" s="21">
        <f t="shared" si="7"/>
        <v>404101</v>
      </c>
      <c r="F53" s="17">
        <v>58171</v>
      </c>
      <c r="G53" s="17">
        <v>58536</v>
      </c>
      <c r="H53" s="21">
        <f t="shared" si="0"/>
        <v>317002</v>
      </c>
      <c r="J53" s="17" t="str">
        <f>IF('Gifting details'!C29="","",'Gifting details'!C29)</f>
        <v/>
      </c>
      <c r="K53" s="17" t="str">
        <f>IF('Gifting details'!D29="","",IF(AND(M53&lt;7,'Gifting details'!D29="PET"),"Chargeable Transfer",'Gifting details'!D29))</f>
        <v/>
      </c>
      <c r="L53" s="21" t="str">
        <f>IF('Gifting details'!E29="","",'Gifting details'!E29)</f>
        <v/>
      </c>
      <c r="M53" s="41" t="str">
        <f>IF('Gifting details'!F29="","",'Gifting details'!F29)</f>
        <v/>
      </c>
      <c r="N53" s="42" cm="1">
        <f t="array" ref="N53">IFERROR(LOOKUP(2,1/((M53&gt;=$J$63:$J$67)*(M53&lt;=$K$63:$K$67)),$L$63:$L$67),0)</f>
        <v>0</v>
      </c>
      <c r="O53" s="17" t="str">
        <f t="shared" si="1"/>
        <v/>
      </c>
      <c r="P53" s="21">
        <f t="shared" si="6"/>
        <v>0</v>
      </c>
      <c r="Q53" s="47">
        <f>MAX(0,IF(M53&gt;6,0,MAX(0,L53-(MAX(0,P$18-P53)))*N53)-'Gifting details'!X29)</f>
        <v>0</v>
      </c>
      <c r="R53" s="17" t="str">
        <f>IF('Gifting details'!C29="","",'Gifting details'!C29)</f>
        <v/>
      </c>
      <c r="S53" s="17" t="str">
        <f>IF('Gifting details'!D29="","",IF(AND(U53&lt;7,'Gifting details'!D29="PET"),"Chargeable Transfer",'Gifting details'!D29))</f>
        <v/>
      </c>
      <c r="T53" s="21" t="str">
        <f>IF('Gifting details'!E29="","",'Gifting details'!E29)</f>
        <v/>
      </c>
      <c r="U53" s="41" t="str">
        <f>IF('Gifting details'!B29="","",'Gifting details'!B29)</f>
        <v/>
      </c>
      <c r="V53" s="42" cm="1">
        <f t="array" ref="V53">IFERROR(LOOKUP(2,1/((U53&gt;=$J$63:$J$67)*(U53&lt;=$K$63:$K$67)),$L$63:$L$67),0)</f>
        <v>0</v>
      </c>
      <c r="W53" s="17" t="str">
        <f t="shared" si="2"/>
        <v/>
      </c>
      <c r="X53" s="21">
        <f t="shared" si="3"/>
        <v>0</v>
      </c>
      <c r="Y53" s="47">
        <f>MAX(0,IF(U53&gt;6,0,MAX(0,T53-(MAX(0,X$18-X53)))*V53)-'Gifting details'!X29)</f>
        <v>0</v>
      </c>
      <c r="Z53" s="17" t="str">
        <f>IF('Gifting details'!H29="","",'Gifting details'!H29)</f>
        <v/>
      </c>
      <c r="AA53" s="17" t="str">
        <f>IF('Gifting details'!I29="","",IF(AND(AC53&lt;7,'Gifting details'!I29="PET"),"Chargeable Transfer",'Gifting details'!I29))</f>
        <v/>
      </c>
      <c r="AB53" s="21" t="str">
        <f>IF('Gifting details'!J29="","",'Gifting details'!J29)</f>
        <v/>
      </c>
      <c r="AC53" s="41" t="str">
        <f>IF('Gifting details'!M29="","",'Gifting details'!M29)</f>
        <v/>
      </c>
      <c r="AD53" s="42" cm="1">
        <f t="array" ref="AD53">IFERROR(LOOKUP(2,1/((AC53&gt;=$J$63:$J$67)*(AC53&lt;=$K$63:$K$67)),$L$63:$L$67),0)</f>
        <v>0</v>
      </c>
      <c r="AE53" s="17" t="str">
        <f t="shared" si="4"/>
        <v/>
      </c>
      <c r="AF53" s="78">
        <f t="shared" si="5"/>
        <v>0</v>
      </c>
      <c r="AG53" s="47">
        <f>MAX(0,IF(AC53&gt;6,0,MAX(0,AB53-(MAX(0,AF$18-AF53)))*AD53)-'Gifting details'!AF29)</f>
        <v>0</v>
      </c>
    </row>
    <row r="54" spans="1:33" x14ac:dyDescent="0.25">
      <c r="A54" s="17">
        <v>51597</v>
      </c>
      <c r="B54" s="17">
        <v>51961</v>
      </c>
      <c r="C54" s="21">
        <f t="shared" si="7"/>
        <v>412184</v>
      </c>
      <c r="F54" s="17">
        <v>58537</v>
      </c>
      <c r="G54" s="17">
        <v>58901</v>
      </c>
      <c r="H54" s="21">
        <f t="shared" si="0"/>
        <v>323343</v>
      </c>
      <c r="J54" s="17" t="str">
        <f>IF('Gifting details'!C30="","",'Gifting details'!C30)</f>
        <v/>
      </c>
      <c r="K54" s="17" t="str">
        <f>IF('Gifting details'!D30="","",IF(AND(M54&lt;7,'Gifting details'!D30="PET"),"Chargeable Transfer",'Gifting details'!D30))</f>
        <v/>
      </c>
      <c r="L54" s="21" t="str">
        <f>IF('Gifting details'!E30="","",'Gifting details'!E30)</f>
        <v/>
      </c>
      <c r="M54" s="41" t="str">
        <f>IF('Gifting details'!F30="","",'Gifting details'!F30)</f>
        <v/>
      </c>
      <c r="N54" s="42" cm="1">
        <f t="array" ref="N54">IFERROR(LOOKUP(2,1/((M54&gt;=$J$63:$J$67)*(M54&lt;=$K$63:$K$67)),$L$63:$L$67),0)</f>
        <v>0</v>
      </c>
      <c r="O54" s="17" t="str">
        <f t="shared" si="1"/>
        <v/>
      </c>
      <c r="P54" s="21">
        <f t="shared" si="6"/>
        <v>0</v>
      </c>
      <c r="Q54" s="47">
        <f>MAX(0,IF(M54&gt;6,0,MAX(0,L54-(MAX(0,P$18-P54)))*N54)-'Gifting details'!X30)</f>
        <v>0</v>
      </c>
      <c r="R54" s="17" t="str">
        <f>IF('Gifting details'!C30="","",'Gifting details'!C30)</f>
        <v/>
      </c>
      <c r="S54" s="17" t="str">
        <f>IF('Gifting details'!D30="","",IF(AND(U54&lt;7,'Gifting details'!D30="PET"),"Chargeable Transfer",'Gifting details'!D30))</f>
        <v/>
      </c>
      <c r="T54" s="21" t="str">
        <f>IF('Gifting details'!E30="","",'Gifting details'!E30)</f>
        <v/>
      </c>
      <c r="U54" s="41" t="str">
        <f>IF('Gifting details'!B30="","",'Gifting details'!B30)</f>
        <v/>
      </c>
      <c r="V54" s="42" cm="1">
        <f t="array" ref="V54">IFERROR(LOOKUP(2,1/((U54&gt;=$J$63:$J$67)*(U54&lt;=$K$63:$K$67)),$L$63:$L$67),0)</f>
        <v>0</v>
      </c>
      <c r="W54" s="17" t="str">
        <f t="shared" si="2"/>
        <v/>
      </c>
      <c r="X54" s="21">
        <f t="shared" si="3"/>
        <v>0</v>
      </c>
      <c r="Y54" s="47">
        <f>MAX(0,IF(U54&gt;6,0,MAX(0,T54-(MAX(0,X$18-X54)))*V54)-'Gifting details'!X30)</f>
        <v>0</v>
      </c>
      <c r="Z54" s="17" t="str">
        <f>IF('Gifting details'!H30="","",'Gifting details'!H30)</f>
        <v/>
      </c>
      <c r="AA54" s="17" t="str">
        <f>IF('Gifting details'!I30="","",IF(AND(AC54&lt;7,'Gifting details'!I30="PET"),"Chargeable Transfer",'Gifting details'!I30))</f>
        <v/>
      </c>
      <c r="AB54" s="21" t="str">
        <f>IF('Gifting details'!J30="","",'Gifting details'!J30)</f>
        <v/>
      </c>
      <c r="AC54" s="41" t="str">
        <f>IF('Gifting details'!M30="","",'Gifting details'!M30)</f>
        <v/>
      </c>
      <c r="AD54" s="42" cm="1">
        <f t="array" ref="AD54">IFERROR(LOOKUP(2,1/((AC54&gt;=$J$63:$J$67)*(AC54&lt;=$K$63:$K$67)),$L$63:$L$67),0)</f>
        <v>0</v>
      </c>
      <c r="AE54" s="17" t="str">
        <f t="shared" si="4"/>
        <v/>
      </c>
      <c r="AF54" s="78">
        <f t="shared" si="5"/>
        <v>0</v>
      </c>
      <c r="AG54" s="47">
        <f>MAX(0,IF(AC54&gt;6,0,MAX(0,AB54-(MAX(0,AF$18-AF54)))*AD54)-'Gifting details'!AF30)</f>
        <v>0</v>
      </c>
    </row>
    <row r="55" spans="1:33" x14ac:dyDescent="0.25">
      <c r="A55" s="17">
        <v>51962</v>
      </c>
      <c r="B55" s="17">
        <v>52326</v>
      </c>
      <c r="C55" s="21">
        <f t="shared" si="7"/>
        <v>420428</v>
      </c>
      <c r="F55" s="17">
        <v>58902</v>
      </c>
      <c r="G55" s="17">
        <v>59266</v>
      </c>
      <c r="H55" s="21">
        <f t="shared" si="0"/>
        <v>329810</v>
      </c>
      <c r="J55" s="17" t="str">
        <f>IF('Gifting details'!C31="","",'Gifting details'!C31)</f>
        <v/>
      </c>
      <c r="K55" s="17" t="str">
        <f>IF('Gifting details'!D31="","",IF(AND(M55&lt;7,'Gifting details'!D31="PET"),"Chargeable Transfer",'Gifting details'!D31))</f>
        <v/>
      </c>
      <c r="L55" s="21" t="str">
        <f>IF('Gifting details'!E31="","",'Gifting details'!E31)</f>
        <v/>
      </c>
      <c r="M55" s="41" t="str">
        <f>IF('Gifting details'!F31="","",'Gifting details'!F31)</f>
        <v/>
      </c>
      <c r="N55" s="42" cm="1">
        <f t="array" ref="N55">IFERROR(LOOKUP(2,1/((M55&gt;=$J$63:$J$67)*(M55&lt;=$K$63:$K$67)),$L$63:$L$67),0)</f>
        <v>0</v>
      </c>
      <c r="O55" s="17" t="str">
        <f t="shared" si="1"/>
        <v/>
      </c>
      <c r="P55" s="21">
        <f t="shared" si="6"/>
        <v>0</v>
      </c>
      <c r="Q55" s="47">
        <f>MAX(0,IF(M55&gt;6,0,MAX(0,L55-(MAX(0,P$18-P55)))*N55)-'Gifting details'!X31)</f>
        <v>0</v>
      </c>
      <c r="R55" s="17" t="str">
        <f>IF('Gifting details'!C31="","",'Gifting details'!C31)</f>
        <v/>
      </c>
      <c r="S55" s="17" t="str">
        <f>IF('Gifting details'!D31="","",IF(AND(U55&lt;7,'Gifting details'!D31="PET"),"Chargeable Transfer",'Gifting details'!D31))</f>
        <v/>
      </c>
      <c r="T55" s="21" t="str">
        <f>IF('Gifting details'!E31="","",'Gifting details'!E31)</f>
        <v/>
      </c>
      <c r="U55" s="41" t="str">
        <f>IF('Gifting details'!B31="","",'Gifting details'!B31)</f>
        <v/>
      </c>
      <c r="V55" s="42" cm="1">
        <f t="array" ref="V55">IFERROR(LOOKUP(2,1/((U55&gt;=$J$63:$J$67)*(U55&lt;=$K$63:$K$67)),$L$63:$L$67),0)</f>
        <v>0</v>
      </c>
      <c r="W55" s="17" t="str">
        <f t="shared" si="2"/>
        <v/>
      </c>
      <c r="X55" s="21">
        <f t="shared" si="3"/>
        <v>0</v>
      </c>
      <c r="Y55" s="47">
        <f>MAX(0,IF(U55&gt;6,0,MAX(0,T55-(MAX(0,X$18-X55)))*V55)-'Gifting details'!X31)</f>
        <v>0</v>
      </c>
      <c r="Z55" s="17" t="str">
        <f>IF('Gifting details'!H31="","",'Gifting details'!H31)</f>
        <v/>
      </c>
      <c r="AA55" s="17" t="str">
        <f>IF('Gifting details'!I31="","",IF(AND(AC55&lt;7,'Gifting details'!I31="PET"),"Chargeable Transfer",'Gifting details'!I31))</f>
        <v/>
      </c>
      <c r="AB55" s="21" t="str">
        <f>IF('Gifting details'!J31="","",'Gifting details'!J31)</f>
        <v/>
      </c>
      <c r="AC55" s="41" t="str">
        <f>IF('Gifting details'!M31="","",'Gifting details'!M31)</f>
        <v/>
      </c>
      <c r="AD55" s="42" cm="1">
        <f t="array" ref="AD55">IFERROR(LOOKUP(2,1/((AC55&gt;=$J$63:$J$67)*(AC55&lt;=$K$63:$K$67)),$L$63:$L$67),0)</f>
        <v>0</v>
      </c>
      <c r="AE55" s="17" t="str">
        <f t="shared" si="4"/>
        <v/>
      </c>
      <c r="AF55" s="78">
        <f t="shared" si="5"/>
        <v>0</v>
      </c>
      <c r="AG55" s="47">
        <f>MAX(0,IF(AC55&gt;6,0,MAX(0,AB55-(MAX(0,AF$18-AF55)))*AD55)-'Gifting details'!AF31)</f>
        <v>0</v>
      </c>
    </row>
    <row r="56" spans="1:33" x14ac:dyDescent="0.25">
      <c r="A56" s="17">
        <v>52327</v>
      </c>
      <c r="B56" s="17">
        <v>52692</v>
      </c>
      <c r="C56" s="21">
        <f t="shared" si="7"/>
        <v>428837</v>
      </c>
      <c r="F56" s="17">
        <v>59267</v>
      </c>
      <c r="G56" s="17">
        <v>59631</v>
      </c>
      <c r="H56" s="21">
        <f t="shared" si="0"/>
        <v>336407</v>
      </c>
      <c r="J56" s="17"/>
      <c r="K56" s="17" t="str">
        <f>'Gifting details'!D32</f>
        <v>Total</v>
      </c>
      <c r="L56" s="40">
        <f>'Gifting details'!E32</f>
        <v>0</v>
      </c>
      <c r="Q56" s="21">
        <f>SUM(Q36:Q55)</f>
        <v>0</v>
      </c>
      <c r="S56" s="17" t="str">
        <f>'Gifting details'!D32</f>
        <v>Total</v>
      </c>
      <c r="T56" s="40">
        <f>'Gifting details'!E32</f>
        <v>0</v>
      </c>
      <c r="Y56" s="21">
        <f>SUM(Y36:Y55)</f>
        <v>0</v>
      </c>
      <c r="AG56" s="21">
        <f>SUM(AG36:AG55)</f>
        <v>0</v>
      </c>
    </row>
    <row r="57" spans="1:33" x14ac:dyDescent="0.25">
      <c r="A57" s="17">
        <v>52693</v>
      </c>
      <c r="B57" s="17">
        <v>53057</v>
      </c>
      <c r="C57" s="21">
        <f t="shared" si="7"/>
        <v>437414</v>
      </c>
      <c r="F57" s="17">
        <v>59632</v>
      </c>
      <c r="G57" s="17">
        <v>59997</v>
      </c>
      <c r="H57" s="21">
        <f t="shared" si="0"/>
        <v>343136</v>
      </c>
      <c r="J57" s="17"/>
      <c r="K57" s="17"/>
      <c r="L57" s="40"/>
    </row>
    <row r="58" spans="1:33" x14ac:dyDescent="0.25">
      <c r="A58" s="17">
        <v>53058</v>
      </c>
      <c r="B58" s="17">
        <v>53422</v>
      </c>
      <c r="C58" s="21">
        <f t="shared" si="7"/>
        <v>446163</v>
      </c>
      <c r="F58" s="17">
        <v>59998</v>
      </c>
      <c r="G58" s="17">
        <v>60362</v>
      </c>
      <c r="H58" s="21">
        <f t="shared" si="0"/>
        <v>349999</v>
      </c>
    </row>
    <row r="59" spans="1:33" x14ac:dyDescent="0.25">
      <c r="A59" s="17">
        <v>53423</v>
      </c>
      <c r="B59" s="17">
        <v>53787</v>
      </c>
      <c r="C59" s="21">
        <f t="shared" si="7"/>
        <v>455087</v>
      </c>
      <c r="F59" s="17">
        <v>60363</v>
      </c>
      <c r="G59" s="17">
        <v>60727</v>
      </c>
      <c r="H59" s="21">
        <f t="shared" si="0"/>
        <v>356999</v>
      </c>
    </row>
    <row r="60" spans="1:33" x14ac:dyDescent="0.25">
      <c r="A60" s="17">
        <v>53788</v>
      </c>
      <c r="B60" s="17">
        <v>54153</v>
      </c>
      <c r="C60" s="21">
        <f t="shared" si="7"/>
        <v>464189</v>
      </c>
      <c r="F60" s="17">
        <v>60728</v>
      </c>
      <c r="G60" s="17">
        <v>61092</v>
      </c>
      <c r="H60" s="21">
        <f t="shared" si="0"/>
        <v>364139</v>
      </c>
    </row>
    <row r="61" spans="1:33" x14ac:dyDescent="0.25">
      <c r="A61" s="17">
        <v>54154</v>
      </c>
      <c r="B61" s="17">
        <v>54518</v>
      </c>
      <c r="C61" s="21">
        <f t="shared" si="7"/>
        <v>473473</v>
      </c>
      <c r="F61" s="17">
        <v>61093</v>
      </c>
      <c r="G61" s="17">
        <v>61458</v>
      </c>
      <c r="H61" s="21">
        <f t="shared" si="0"/>
        <v>371422</v>
      </c>
    </row>
    <row r="62" spans="1:33" x14ac:dyDescent="0.25">
      <c r="A62" s="17">
        <v>54519</v>
      </c>
      <c r="B62" s="17">
        <v>54883</v>
      </c>
      <c r="C62" s="21">
        <f t="shared" si="7"/>
        <v>482943</v>
      </c>
      <c r="F62" s="17">
        <v>61459</v>
      </c>
      <c r="G62" s="17">
        <v>61823</v>
      </c>
      <c r="H62" s="21">
        <f t="shared" si="0"/>
        <v>378851</v>
      </c>
      <c r="J62" t="s">
        <v>101</v>
      </c>
    </row>
    <row r="63" spans="1:33" x14ac:dyDescent="0.25">
      <c r="A63" s="17">
        <v>54884</v>
      </c>
      <c r="B63" s="17">
        <v>55248</v>
      </c>
      <c r="C63" s="21">
        <f t="shared" si="7"/>
        <v>492602</v>
      </c>
      <c r="F63" s="17">
        <v>61824</v>
      </c>
      <c r="G63" s="17">
        <v>62188</v>
      </c>
      <c r="H63" s="21">
        <f t="shared" si="0"/>
        <v>386429</v>
      </c>
      <c r="J63">
        <v>0</v>
      </c>
      <c r="K63">
        <v>3</v>
      </c>
      <c r="L63" s="42">
        <v>0.4</v>
      </c>
    </row>
    <row r="64" spans="1:33" x14ac:dyDescent="0.25">
      <c r="A64" s="17">
        <v>55249</v>
      </c>
      <c r="B64" s="17">
        <v>55614</v>
      </c>
      <c r="C64" s="21">
        <f t="shared" si="7"/>
        <v>502455</v>
      </c>
      <c r="F64" s="17">
        <v>62189</v>
      </c>
      <c r="G64" s="17">
        <v>62553</v>
      </c>
      <c r="H64" s="21">
        <f t="shared" si="0"/>
        <v>394158</v>
      </c>
      <c r="J64">
        <v>3</v>
      </c>
      <c r="K64">
        <v>4</v>
      </c>
      <c r="L64" s="42">
        <v>0.32</v>
      </c>
    </row>
    <row r="65" spans="1:12" x14ac:dyDescent="0.25">
      <c r="A65" s="17">
        <v>55615</v>
      </c>
      <c r="B65" s="17">
        <v>55979</v>
      </c>
      <c r="C65" s="21">
        <f t="shared" si="7"/>
        <v>512505</v>
      </c>
      <c r="F65" s="17">
        <v>62554</v>
      </c>
      <c r="G65" s="17">
        <v>62919</v>
      </c>
      <c r="H65" s="21">
        <f t="shared" si="0"/>
        <v>402042</v>
      </c>
      <c r="J65">
        <v>4</v>
      </c>
      <c r="K65">
        <v>5</v>
      </c>
      <c r="L65" s="42">
        <v>0.24</v>
      </c>
    </row>
    <row r="66" spans="1:12" x14ac:dyDescent="0.25">
      <c r="A66" s="17">
        <v>55980</v>
      </c>
      <c r="B66" s="17">
        <v>56344</v>
      </c>
      <c r="C66" s="21">
        <f t="shared" si="7"/>
        <v>522756</v>
      </c>
      <c r="F66" s="17">
        <v>62920</v>
      </c>
      <c r="G66" s="17">
        <v>63284</v>
      </c>
      <c r="H66" s="21">
        <f t="shared" si="0"/>
        <v>410083</v>
      </c>
      <c r="J66">
        <v>5</v>
      </c>
      <c r="K66">
        <v>6</v>
      </c>
      <c r="L66" s="42">
        <v>0.16</v>
      </c>
    </row>
    <row r="67" spans="1:12" x14ac:dyDescent="0.25">
      <c r="A67" s="17">
        <v>56345</v>
      </c>
      <c r="B67" s="17">
        <v>56709</v>
      </c>
      <c r="C67" s="21">
        <f t="shared" si="7"/>
        <v>533212</v>
      </c>
      <c r="F67" s="17">
        <v>63285</v>
      </c>
      <c r="G67" s="17">
        <v>63649</v>
      </c>
      <c r="H67" s="21">
        <f t="shared" si="0"/>
        <v>418285</v>
      </c>
      <c r="J67">
        <v>6</v>
      </c>
      <c r="K67">
        <v>7</v>
      </c>
      <c r="L67" s="42">
        <v>0.08</v>
      </c>
    </row>
    <row r="68" spans="1:12" x14ac:dyDescent="0.25">
      <c r="A68" s="17">
        <v>56710</v>
      </c>
      <c r="B68" s="17">
        <v>57075</v>
      </c>
      <c r="C68" s="21">
        <f t="shared" si="7"/>
        <v>543877</v>
      </c>
      <c r="F68" s="17">
        <v>63650</v>
      </c>
      <c r="G68" s="17">
        <v>64014</v>
      </c>
      <c r="H68" s="21">
        <f t="shared" si="0"/>
        <v>426651</v>
      </c>
    </row>
    <row r="69" spans="1:12" x14ac:dyDescent="0.25">
      <c r="A69" s="17">
        <v>57076</v>
      </c>
      <c r="B69" s="17">
        <v>57440</v>
      </c>
      <c r="C69" s="21">
        <f t="shared" si="7"/>
        <v>554755</v>
      </c>
      <c r="F69" s="17">
        <v>64015</v>
      </c>
      <c r="G69" s="17">
        <v>64380</v>
      </c>
      <c r="H69" s="21">
        <f t="shared" si="0"/>
        <v>435185</v>
      </c>
    </row>
    <row r="70" spans="1:12" x14ac:dyDescent="0.25">
      <c r="A70" s="17">
        <v>57441</v>
      </c>
      <c r="B70" s="17">
        <v>57805</v>
      </c>
      <c r="C70" s="21">
        <f t="shared" si="7"/>
        <v>565851</v>
      </c>
      <c r="F70" s="17">
        <v>64381</v>
      </c>
      <c r="G70" s="17">
        <v>64745</v>
      </c>
      <c r="H70" s="21">
        <f t="shared" si="0"/>
        <v>443889</v>
      </c>
    </row>
    <row r="71" spans="1:12" x14ac:dyDescent="0.25">
      <c r="A71" s="17">
        <v>57806</v>
      </c>
      <c r="B71" s="17">
        <v>58170</v>
      </c>
      <c r="C71" s="21">
        <f t="shared" si="7"/>
        <v>577169</v>
      </c>
      <c r="F71" s="17">
        <v>64746</v>
      </c>
      <c r="G71" s="17">
        <v>65110</v>
      </c>
      <c r="H71" s="21">
        <f t="shared" si="0"/>
        <v>452767</v>
      </c>
    </row>
    <row r="72" spans="1:12" x14ac:dyDescent="0.25">
      <c r="A72" s="17">
        <v>58171</v>
      </c>
      <c r="B72" s="17">
        <v>58536</v>
      </c>
      <c r="C72" s="21">
        <f t="shared" si="7"/>
        <v>588713</v>
      </c>
      <c r="F72" s="17">
        <v>65111</v>
      </c>
      <c r="G72" s="17">
        <v>65475</v>
      </c>
      <c r="H72" s="21">
        <f t="shared" si="0"/>
        <v>461823</v>
      </c>
    </row>
    <row r="73" spans="1:12" x14ac:dyDescent="0.25">
      <c r="A73" s="17">
        <v>58537</v>
      </c>
      <c r="B73" s="17">
        <v>58901</v>
      </c>
      <c r="C73" s="21">
        <f t="shared" si="7"/>
        <v>600488</v>
      </c>
      <c r="F73" s="17">
        <v>65476</v>
      </c>
      <c r="G73" s="17">
        <v>65841</v>
      </c>
      <c r="H73" s="21">
        <f t="shared" si="0"/>
        <v>471060</v>
      </c>
    </row>
    <row r="74" spans="1:12" x14ac:dyDescent="0.25">
      <c r="A74" s="17">
        <v>58902</v>
      </c>
      <c r="B74" s="17">
        <v>59266</v>
      </c>
      <c r="C74" s="21">
        <f t="shared" si="7"/>
        <v>612498</v>
      </c>
      <c r="F74" s="17">
        <v>65842</v>
      </c>
      <c r="G74" s="17">
        <v>66206</v>
      </c>
      <c r="H74" s="21">
        <f t="shared" si="0"/>
        <v>480482</v>
      </c>
    </row>
    <row r="75" spans="1:12" x14ac:dyDescent="0.25">
      <c r="A75" s="17">
        <v>59267</v>
      </c>
      <c r="B75" s="17">
        <v>59631</v>
      </c>
      <c r="C75" s="21">
        <f t="shared" si="7"/>
        <v>624748</v>
      </c>
      <c r="F75" s="17">
        <v>66207</v>
      </c>
      <c r="G75" s="17">
        <v>66571</v>
      </c>
      <c r="H75" s="21">
        <f t="shared" si="0"/>
        <v>490092</v>
      </c>
    </row>
    <row r="76" spans="1:12" x14ac:dyDescent="0.25">
      <c r="A76" s="17">
        <v>59632</v>
      </c>
      <c r="B76" s="17">
        <v>59997</v>
      </c>
      <c r="C76" s="21">
        <f t="shared" si="7"/>
        <v>637243</v>
      </c>
      <c r="F76" s="17">
        <v>66572</v>
      </c>
      <c r="G76" s="17">
        <v>66936</v>
      </c>
      <c r="H76" s="21">
        <f t="shared" si="0"/>
        <v>499894</v>
      </c>
    </row>
    <row r="77" spans="1:12" x14ac:dyDescent="0.25">
      <c r="A77" s="17">
        <v>59998</v>
      </c>
      <c r="B77" s="17">
        <v>60362</v>
      </c>
      <c r="C77" s="21">
        <f t="shared" si="7"/>
        <v>649988</v>
      </c>
      <c r="F77" s="17">
        <v>66937</v>
      </c>
      <c r="G77" s="17">
        <v>67302</v>
      </c>
      <c r="H77" s="21">
        <f t="shared" si="0"/>
        <v>509892</v>
      </c>
    </row>
    <row r="78" spans="1:12" x14ac:dyDescent="0.25">
      <c r="A78" s="17">
        <v>60363</v>
      </c>
      <c r="B78" s="17">
        <v>60727</v>
      </c>
      <c r="C78" s="21">
        <f t="shared" si="7"/>
        <v>662988</v>
      </c>
      <c r="F78" s="17">
        <v>67303</v>
      </c>
      <c r="G78" s="17">
        <v>67667</v>
      </c>
      <c r="H78" s="21">
        <f t="shared" si="0"/>
        <v>520090</v>
      </c>
    </row>
    <row r="79" spans="1:12" x14ac:dyDescent="0.25">
      <c r="A79" s="17">
        <v>60728</v>
      </c>
      <c r="B79" s="17">
        <v>61092</v>
      </c>
      <c r="C79" s="21">
        <f t="shared" si="7"/>
        <v>676248</v>
      </c>
      <c r="F79" s="17">
        <v>67668</v>
      </c>
      <c r="G79" s="17">
        <v>68032</v>
      </c>
      <c r="H79" s="21">
        <f t="shared" si="0"/>
        <v>530492</v>
      </c>
    </row>
    <row r="80" spans="1:12" x14ac:dyDescent="0.25">
      <c r="A80" s="17">
        <v>61093</v>
      </c>
      <c r="B80" s="17">
        <v>61458</v>
      </c>
      <c r="C80" s="21">
        <f t="shared" si="7"/>
        <v>689773</v>
      </c>
      <c r="F80" s="17">
        <v>68033</v>
      </c>
      <c r="G80" s="17">
        <v>68397</v>
      </c>
      <c r="H80" s="21">
        <f t="shared" si="0"/>
        <v>541102</v>
      </c>
    </row>
    <row r="81" spans="1:8" x14ac:dyDescent="0.25">
      <c r="A81" s="17">
        <v>61459</v>
      </c>
      <c r="B81" s="17">
        <v>61823</v>
      </c>
      <c r="C81" s="21">
        <f t="shared" si="7"/>
        <v>703569</v>
      </c>
      <c r="F81" s="17">
        <v>68398</v>
      </c>
      <c r="G81" s="17">
        <v>68763</v>
      </c>
      <c r="H81" s="21">
        <f t="shared" si="0"/>
        <v>551925</v>
      </c>
    </row>
    <row r="82" spans="1:8" x14ac:dyDescent="0.25">
      <c r="A82" s="17">
        <v>61824</v>
      </c>
      <c r="B82" s="17">
        <v>62188</v>
      </c>
      <c r="C82" s="21">
        <f t="shared" si="7"/>
        <v>717641</v>
      </c>
      <c r="F82" s="17">
        <v>68764</v>
      </c>
      <c r="G82" s="17">
        <v>69128</v>
      </c>
      <c r="H82" s="21">
        <f t="shared" si="0"/>
        <v>562964</v>
      </c>
    </row>
    <row r="83" spans="1:8" x14ac:dyDescent="0.25">
      <c r="A83" s="17">
        <v>62189</v>
      </c>
      <c r="B83" s="17">
        <v>62553</v>
      </c>
      <c r="C83" s="21">
        <f t="shared" si="7"/>
        <v>731994</v>
      </c>
      <c r="F83" s="17">
        <v>69129</v>
      </c>
      <c r="G83" s="17">
        <v>69493</v>
      </c>
      <c r="H83" s="21">
        <f t="shared" si="0"/>
        <v>574224</v>
      </c>
    </row>
    <row r="84" spans="1:8" x14ac:dyDescent="0.25">
      <c r="A84" s="17">
        <v>62554</v>
      </c>
      <c r="B84" s="17">
        <v>62919</v>
      </c>
      <c r="C84" s="21">
        <f t="shared" si="7"/>
        <v>746634</v>
      </c>
      <c r="F84" s="17">
        <v>69494</v>
      </c>
      <c r="G84" s="17">
        <v>69858</v>
      </c>
      <c r="H84" s="21">
        <f t="shared" si="0"/>
        <v>585709</v>
      </c>
    </row>
    <row r="85" spans="1:8" x14ac:dyDescent="0.25">
      <c r="A85" s="17">
        <v>62920</v>
      </c>
      <c r="B85" s="17">
        <v>63284</v>
      </c>
      <c r="C85" s="21">
        <f t="shared" si="7"/>
        <v>761567</v>
      </c>
      <c r="F85" s="17">
        <v>69859</v>
      </c>
      <c r="G85" s="17">
        <v>70224</v>
      </c>
      <c r="H85" s="21">
        <f t="shared" si="0"/>
        <v>597424</v>
      </c>
    </row>
    <row r="86" spans="1:8" x14ac:dyDescent="0.25">
      <c r="A86" s="17">
        <v>63285</v>
      </c>
      <c r="B86" s="17">
        <v>63649</v>
      </c>
      <c r="C86" s="21">
        <f t="shared" si="7"/>
        <v>776799</v>
      </c>
      <c r="F86" s="17">
        <v>70225</v>
      </c>
      <c r="G86" s="17">
        <v>70589</v>
      </c>
      <c r="H86" s="21">
        <f t="shared" si="0"/>
        <v>609373</v>
      </c>
    </row>
    <row r="87" spans="1:8" x14ac:dyDescent="0.25">
      <c r="A87" s="17">
        <v>63650</v>
      </c>
      <c r="B87" s="17">
        <v>64014</v>
      </c>
      <c r="C87" s="21">
        <f t="shared" si="7"/>
        <v>792335</v>
      </c>
      <c r="F87" s="17">
        <v>70590</v>
      </c>
      <c r="G87" s="17">
        <v>70954</v>
      </c>
      <c r="H87" s="21">
        <f t="shared" si="0"/>
        <v>621561</v>
      </c>
    </row>
    <row r="88" spans="1:8" x14ac:dyDescent="0.25">
      <c r="A88" s="17">
        <v>64015</v>
      </c>
      <c r="B88" s="17">
        <v>64380</v>
      </c>
      <c r="C88" s="21">
        <f t="shared" si="7"/>
        <v>808182</v>
      </c>
      <c r="F88" s="17">
        <v>70955</v>
      </c>
      <c r="G88" s="17">
        <v>71319</v>
      </c>
      <c r="H88" s="21">
        <f t="shared" si="0"/>
        <v>633993</v>
      </c>
    </row>
    <row r="89" spans="1:8" x14ac:dyDescent="0.25">
      <c r="A89" s="17">
        <v>64381</v>
      </c>
      <c r="B89" s="17">
        <v>64745</v>
      </c>
      <c r="C89" s="21">
        <f t="shared" si="7"/>
        <v>824346</v>
      </c>
      <c r="F89" s="17">
        <v>71320</v>
      </c>
      <c r="G89" s="17">
        <v>71685</v>
      </c>
      <c r="H89" s="21">
        <f t="shared" ref="H89:H93" si="8">ROUNDUP(H88*102%,0)</f>
        <v>646673</v>
      </c>
    </row>
    <row r="90" spans="1:8" x14ac:dyDescent="0.25">
      <c r="A90" s="17">
        <v>64746</v>
      </c>
      <c r="B90" s="17">
        <v>65110</v>
      </c>
      <c r="C90" s="21">
        <f t="shared" si="7"/>
        <v>840833</v>
      </c>
      <c r="F90" s="17">
        <v>71686</v>
      </c>
      <c r="G90" s="17">
        <v>72050</v>
      </c>
      <c r="H90" s="21">
        <f t="shared" si="8"/>
        <v>659607</v>
      </c>
    </row>
    <row r="91" spans="1:8" x14ac:dyDescent="0.25">
      <c r="A91" s="17">
        <v>65111</v>
      </c>
      <c r="B91" s="17">
        <v>65475</v>
      </c>
      <c r="C91" s="21">
        <f t="shared" si="7"/>
        <v>857650</v>
      </c>
      <c r="F91" s="17">
        <v>72051</v>
      </c>
      <c r="G91" s="17">
        <v>72415</v>
      </c>
      <c r="H91" s="21">
        <f t="shared" si="8"/>
        <v>672800</v>
      </c>
    </row>
    <row r="92" spans="1:8" x14ac:dyDescent="0.25">
      <c r="A92" s="17">
        <v>65476</v>
      </c>
      <c r="B92" s="17">
        <v>65841</v>
      </c>
      <c r="C92" s="21">
        <f t="shared" si="7"/>
        <v>874803</v>
      </c>
      <c r="F92" s="17">
        <v>72416</v>
      </c>
      <c r="G92" s="17">
        <v>72780</v>
      </c>
      <c r="H92" s="21">
        <f t="shared" si="8"/>
        <v>686256</v>
      </c>
    </row>
    <row r="93" spans="1:8" x14ac:dyDescent="0.25">
      <c r="A93" s="17">
        <v>65842</v>
      </c>
      <c r="B93" s="17">
        <v>66206</v>
      </c>
      <c r="C93" s="21">
        <f t="shared" si="7"/>
        <v>892300</v>
      </c>
      <c r="F93" s="17">
        <v>72781</v>
      </c>
      <c r="G93" s="17">
        <v>73145</v>
      </c>
      <c r="H93" s="21">
        <f t="shared" si="8"/>
        <v>699982</v>
      </c>
    </row>
    <row r="94" spans="1:8" x14ac:dyDescent="0.25">
      <c r="A94" s="17">
        <v>66207</v>
      </c>
      <c r="B94" s="17">
        <v>66571</v>
      </c>
      <c r="C94" s="21">
        <f t="shared" si="7"/>
        <v>910146</v>
      </c>
      <c r="F94" s="17"/>
      <c r="G94" s="17"/>
    </row>
    <row r="95" spans="1:8" x14ac:dyDescent="0.25">
      <c r="A95" s="17">
        <v>66572</v>
      </c>
      <c r="B95" s="17">
        <v>66936</v>
      </c>
      <c r="C95" s="21">
        <f t="shared" si="7"/>
        <v>928349</v>
      </c>
      <c r="F95" s="17"/>
      <c r="G95" s="17"/>
    </row>
    <row r="96" spans="1:8" x14ac:dyDescent="0.25">
      <c r="A96" s="17">
        <v>66937</v>
      </c>
      <c r="B96" s="17">
        <v>67302</v>
      </c>
      <c r="C96" s="21">
        <f t="shared" si="7"/>
        <v>946916</v>
      </c>
      <c r="F96" s="17"/>
      <c r="G96" s="17"/>
    </row>
    <row r="97" spans="1:7" x14ac:dyDescent="0.25">
      <c r="A97" s="17">
        <v>67303</v>
      </c>
      <c r="B97" s="17">
        <v>67667</v>
      </c>
      <c r="C97" s="21">
        <f t="shared" si="7"/>
        <v>965855</v>
      </c>
      <c r="F97" s="17"/>
      <c r="G97" s="17"/>
    </row>
    <row r="98" spans="1:7" x14ac:dyDescent="0.25">
      <c r="A98" s="17">
        <v>67668</v>
      </c>
      <c r="B98" s="17">
        <v>68032</v>
      </c>
      <c r="C98" s="21">
        <f t="shared" si="7"/>
        <v>985173</v>
      </c>
      <c r="F98" s="17"/>
      <c r="G98" s="17"/>
    </row>
    <row r="99" spans="1:7" x14ac:dyDescent="0.25">
      <c r="A99" s="17">
        <v>68033</v>
      </c>
      <c r="B99" s="17">
        <v>68397</v>
      </c>
      <c r="C99" s="21">
        <f t="shared" si="7"/>
        <v>1004877</v>
      </c>
      <c r="F99" s="17"/>
      <c r="G99" s="17"/>
    </row>
    <row r="100" spans="1:7" x14ac:dyDescent="0.25">
      <c r="A100" s="17">
        <v>68398</v>
      </c>
      <c r="B100" s="17">
        <v>68763</v>
      </c>
      <c r="C100" s="21">
        <f t="shared" si="7"/>
        <v>1024975</v>
      </c>
      <c r="F100" s="17"/>
      <c r="G100" s="17"/>
    </row>
    <row r="101" spans="1:7" x14ac:dyDescent="0.25">
      <c r="A101" s="17">
        <v>68764</v>
      </c>
      <c r="B101" s="17">
        <v>69128</v>
      </c>
      <c r="C101" s="21">
        <f t="shared" si="7"/>
        <v>1045475</v>
      </c>
      <c r="F101" s="17"/>
      <c r="G101" s="17"/>
    </row>
    <row r="102" spans="1:7" x14ac:dyDescent="0.25">
      <c r="A102" s="17">
        <v>69129</v>
      </c>
      <c r="B102" s="17">
        <v>69493</v>
      </c>
      <c r="C102" s="21">
        <f t="shared" si="7"/>
        <v>1066385</v>
      </c>
      <c r="F102" s="17"/>
      <c r="G102" s="17"/>
    </row>
    <row r="103" spans="1:7" x14ac:dyDescent="0.25">
      <c r="A103" s="17">
        <v>69494</v>
      </c>
      <c r="B103" s="17">
        <v>69858</v>
      </c>
      <c r="C103" s="21">
        <f t="shared" si="7"/>
        <v>1087713</v>
      </c>
      <c r="F103" s="17"/>
      <c r="G103" s="17"/>
    </row>
    <row r="104" spans="1:7" x14ac:dyDescent="0.25">
      <c r="A104" s="17">
        <v>69859</v>
      </c>
      <c r="B104" s="17">
        <v>70224</v>
      </c>
      <c r="C104" s="21">
        <f t="shared" si="7"/>
        <v>1109468</v>
      </c>
      <c r="F104" s="17"/>
      <c r="G104" s="17"/>
    </row>
    <row r="105" spans="1:7" x14ac:dyDescent="0.25">
      <c r="A105" s="17">
        <v>70225</v>
      </c>
      <c r="B105" s="17">
        <v>70589</v>
      </c>
      <c r="C105" s="21">
        <f t="shared" si="7"/>
        <v>1131658</v>
      </c>
      <c r="F105" s="17"/>
      <c r="G105" s="17"/>
    </row>
    <row r="106" spans="1:7" x14ac:dyDescent="0.25">
      <c r="A106" s="17">
        <v>70590</v>
      </c>
      <c r="B106" s="17">
        <v>70954</v>
      </c>
      <c r="C106" s="21">
        <f t="shared" ref="C106:C112" si="9">ROUNDUP(C105*102%,0)</f>
        <v>1154292</v>
      </c>
      <c r="F106" s="17"/>
      <c r="G106" s="17"/>
    </row>
    <row r="107" spans="1:7" x14ac:dyDescent="0.25">
      <c r="A107" s="17">
        <v>70955</v>
      </c>
      <c r="B107" s="17">
        <v>71319</v>
      </c>
      <c r="C107" s="21">
        <f t="shared" si="9"/>
        <v>1177378</v>
      </c>
      <c r="F107" s="17"/>
      <c r="G107" s="17"/>
    </row>
    <row r="108" spans="1:7" x14ac:dyDescent="0.25">
      <c r="A108" s="17">
        <v>71320</v>
      </c>
      <c r="B108" s="17">
        <v>71685</v>
      </c>
      <c r="C108" s="21">
        <f t="shared" si="9"/>
        <v>1200926</v>
      </c>
      <c r="F108" s="17"/>
      <c r="G108" s="17"/>
    </row>
    <row r="109" spans="1:7" x14ac:dyDescent="0.25">
      <c r="A109" s="17">
        <v>71686</v>
      </c>
      <c r="B109" s="17">
        <v>72050</v>
      </c>
      <c r="C109" s="21">
        <f t="shared" si="9"/>
        <v>1224945</v>
      </c>
      <c r="F109" s="17"/>
      <c r="G109" s="17"/>
    </row>
    <row r="110" spans="1:7" x14ac:dyDescent="0.25">
      <c r="A110" s="17">
        <v>72051</v>
      </c>
      <c r="B110" s="17">
        <v>72415</v>
      </c>
      <c r="C110" s="21">
        <f t="shared" si="9"/>
        <v>1249444</v>
      </c>
      <c r="F110" s="17"/>
      <c r="G110" s="17"/>
    </row>
    <row r="111" spans="1:7" x14ac:dyDescent="0.25">
      <c r="A111" s="17">
        <v>72416</v>
      </c>
      <c r="B111" s="17">
        <v>72780</v>
      </c>
      <c r="C111" s="21">
        <f t="shared" si="9"/>
        <v>1274433</v>
      </c>
      <c r="F111" s="17"/>
      <c r="G111" s="17"/>
    </row>
    <row r="112" spans="1:7" x14ac:dyDescent="0.25">
      <c r="A112" s="17">
        <v>72781</v>
      </c>
      <c r="B112" s="17">
        <v>73145</v>
      </c>
      <c r="C112" s="21">
        <f t="shared" si="9"/>
        <v>1299922</v>
      </c>
      <c r="F112" s="17"/>
      <c r="G112" s="17"/>
    </row>
  </sheetData>
  <sortState xmlns:xlrd2="http://schemas.microsoft.com/office/spreadsheetml/2017/richdata2" ref="A19:C40">
    <sortCondition ref="A19:A40"/>
  </sortState>
  <mergeCells count="3">
    <mergeCell ref="R24:W25"/>
    <mergeCell ref="Z24:AE25"/>
    <mergeCell ref="J24:O25"/>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8053-1E46-42B3-A8AF-940700F6CD48}">
  <dimension ref="A1:AC43"/>
  <sheetViews>
    <sheetView showGridLines="0" showRowColHeaders="0" tabSelected="1" topLeftCell="A3" zoomScaleNormal="100" workbookViewId="0">
      <selection activeCell="F6" sqref="F6"/>
    </sheetView>
  </sheetViews>
  <sheetFormatPr defaultColWidth="0" defaultRowHeight="0" customHeight="1" zeroHeight="1" x14ac:dyDescent="0.25"/>
  <cols>
    <col min="1" max="2" width="9.140625" customWidth="1"/>
    <col min="3" max="3" width="14.7109375" customWidth="1"/>
    <col min="4" max="4" width="11.7109375" customWidth="1"/>
    <col min="5" max="5" width="18.28515625" customWidth="1"/>
    <col min="6" max="6" width="14.28515625" customWidth="1"/>
    <col min="7" max="7" width="12.28515625" customWidth="1"/>
    <col min="8" max="8" width="5.7109375" customWidth="1"/>
    <col min="9" max="9" width="11.7109375" customWidth="1"/>
    <col min="10" max="10" width="24.7109375" customWidth="1"/>
    <col min="11" max="11" width="9.140625" customWidth="1"/>
    <col min="12" max="13" width="9.140625" hidden="1" customWidth="1"/>
    <col min="14" max="14" width="10.7109375" hidden="1" customWidth="1"/>
    <col min="15" max="15" width="9.140625" hidden="1" customWidth="1"/>
    <col min="16" max="16" width="12.5703125" hidden="1" customWidth="1"/>
    <col min="17" max="17" width="11" hidden="1" customWidth="1"/>
    <col min="18" max="18" width="9.140625" hidden="1" customWidth="1"/>
    <col min="19" max="19" width="10.7109375" hidden="1" customWidth="1"/>
    <col min="20" max="20" width="12.7109375" hidden="1" customWidth="1"/>
    <col min="21" max="21" width="12.5703125" hidden="1" customWidth="1"/>
    <col min="22" max="22" width="9.140625" hidden="1" customWidth="1"/>
    <col min="23" max="23" width="11.140625" hidden="1" customWidth="1"/>
    <col min="24" max="24" width="11.7109375" hidden="1" customWidth="1"/>
    <col min="25" max="25" width="12.5703125" hidden="1" customWidth="1"/>
    <col min="26" max="26" width="9.140625" hidden="1" customWidth="1"/>
    <col min="27" max="27" width="10.85546875" hidden="1" customWidth="1"/>
    <col min="28" max="28" width="12.7109375" hidden="1" customWidth="1"/>
    <col min="29" max="29" width="11.5703125" hidden="1" customWidth="1"/>
    <col min="30" max="16384" width="9.140625" hidden="1"/>
  </cols>
  <sheetData>
    <row r="1" spans="2:29" ht="15" x14ac:dyDescent="0.25"/>
    <row r="2" spans="2:29" ht="15.75" thickBot="1" x14ac:dyDescent="0.3"/>
    <row r="3" spans="2:29" ht="15.75" thickTop="1" x14ac:dyDescent="0.25">
      <c r="B3" s="1"/>
      <c r="C3" s="2"/>
      <c r="D3" s="2"/>
      <c r="E3" s="2"/>
      <c r="F3" s="2"/>
      <c r="G3" s="2"/>
      <c r="H3" s="2"/>
      <c r="I3" s="2"/>
      <c r="J3" s="8"/>
    </row>
    <row r="4" spans="2:29" ht="15" x14ac:dyDescent="0.25">
      <c r="B4" s="3"/>
      <c r="J4" s="9"/>
    </row>
    <row r="5" spans="2:29" ht="21" x14ac:dyDescent="0.35">
      <c r="B5" s="3"/>
      <c r="D5" s="91" t="s">
        <v>102</v>
      </c>
      <c r="E5" s="91"/>
      <c r="F5" s="91"/>
      <c r="G5" s="91"/>
      <c r="H5" s="91"/>
      <c r="I5" s="91"/>
      <c r="J5" s="140"/>
    </row>
    <row r="6" spans="2:29" ht="15" x14ac:dyDescent="0.25">
      <c r="B6" s="3"/>
      <c r="J6" s="9"/>
    </row>
    <row r="7" spans="2:29" ht="17.25" customHeight="1" x14ac:dyDescent="0.25">
      <c r="B7" s="3"/>
      <c r="C7" s="4"/>
      <c r="D7" s="29">
        <f ca="1">TODAY()</f>
        <v>46218</v>
      </c>
      <c r="E7" s="29">
        <f ca="1">DATE(YEAR(D7)-7,MONTH(D7),DAY(D7))</f>
        <v>43661</v>
      </c>
      <c r="F7" s="4"/>
      <c r="G7" s="4"/>
      <c r="H7" s="83"/>
      <c r="I7" s="83"/>
      <c r="J7" s="54"/>
    </row>
    <row r="8" spans="2:29" ht="15" customHeight="1" x14ac:dyDescent="0.25">
      <c r="B8" s="3"/>
      <c r="C8" s="149" t="str">
        <f>IF(Results!E7="","",Results!E7)</f>
        <v/>
      </c>
      <c r="D8" s="149"/>
      <c r="E8" s="149"/>
      <c r="F8" s="141" t="s">
        <v>103</v>
      </c>
      <c r="G8" s="141"/>
      <c r="J8" s="55"/>
    </row>
    <row r="9" spans="2:29" ht="16.5" thickBot="1" x14ac:dyDescent="0.3">
      <c r="B9" s="3"/>
      <c r="C9" s="13"/>
      <c r="D9" s="13"/>
      <c r="E9" s="13"/>
      <c r="F9" s="13"/>
      <c r="G9" s="13"/>
      <c r="H9" s="13"/>
      <c r="I9" s="13"/>
      <c r="J9" s="56"/>
    </row>
    <row r="10" spans="2:29" ht="15.75" customHeight="1" thickBot="1" x14ac:dyDescent="0.3">
      <c r="B10" s="3"/>
      <c r="C10" s="142" t="s">
        <v>104</v>
      </c>
      <c r="D10" s="142"/>
      <c r="E10" s="142"/>
      <c r="F10" s="143">
        <f>'Estate overview'!J21</f>
        <v>766000</v>
      </c>
      <c r="G10" s="144"/>
      <c r="H10" s="57"/>
      <c r="I10" s="58"/>
      <c r="J10" s="59"/>
      <c r="N10" s="43"/>
      <c r="O10" s="44"/>
      <c r="P10" s="45"/>
      <c r="Q10" s="45"/>
      <c r="R10" s="79"/>
      <c r="S10" s="79"/>
      <c r="W10" s="43"/>
      <c r="X10" s="44"/>
      <c r="Y10" s="45"/>
      <c r="Z10" s="79"/>
      <c r="AA10" s="79"/>
    </row>
    <row r="11" spans="2:29" ht="15.75" thickBot="1" x14ac:dyDescent="0.3">
      <c r="B11" s="60">
        <f>IF(C11="","",IFERROR(DATEDIF(C11,Results!F$11,"y"),0))</f>
        <v>0</v>
      </c>
      <c r="C11" s="17" t="s">
        <v>105</v>
      </c>
      <c r="E11" s="21"/>
      <c r="F11" s="61"/>
      <c r="G11" s="25" t="str">
        <f t="shared" ref="G11" si="0">IF(F11="","",IF(F11&gt;=14,"Remove",""))</f>
        <v/>
      </c>
      <c r="H11" s="17"/>
      <c r="J11" s="62"/>
      <c r="N11" s="17"/>
      <c r="O11" s="17"/>
      <c r="P11" s="21"/>
      <c r="Q11" s="41"/>
      <c r="R11" s="42"/>
      <c r="S11" s="17"/>
      <c r="T11" s="21"/>
      <c r="U11" s="21"/>
      <c r="W11" s="17"/>
      <c r="X11" s="17"/>
      <c r="Y11" s="21"/>
      <c r="Z11" s="42"/>
      <c r="AA11" s="17"/>
      <c r="AB11" s="21"/>
      <c r="AC11" s="21"/>
    </row>
    <row r="12" spans="2:29" ht="15.75" customHeight="1" thickBot="1" x14ac:dyDescent="0.3">
      <c r="B12" s="60">
        <f>IF(C12="","",IFERROR(DATEDIF(C12,Results!F$11,"y"),0))</f>
        <v>0</v>
      </c>
      <c r="C12" s="145" t="s">
        <v>106</v>
      </c>
      <c r="D12" s="145"/>
      <c r="E12" s="146"/>
      <c r="F12" s="147">
        <f>'Estate overview'!J29</f>
        <v>0</v>
      </c>
      <c r="G12" s="148"/>
      <c r="H12" s="17"/>
      <c r="I12" s="160" t="s">
        <v>61</v>
      </c>
      <c r="J12" s="161"/>
      <c r="N12" s="17"/>
      <c r="O12" s="17"/>
      <c r="P12" s="21"/>
      <c r="Q12" s="41"/>
      <c r="R12" s="42"/>
      <c r="S12" s="17"/>
      <c r="T12" s="21"/>
      <c r="U12" s="21"/>
      <c r="W12" s="17"/>
      <c r="X12" s="17"/>
      <c r="Y12" s="21"/>
      <c r="Z12" s="42"/>
      <c r="AA12" s="17"/>
      <c r="AB12" s="21"/>
      <c r="AC12" s="21"/>
    </row>
    <row r="13" spans="2:29" ht="15.75" thickBot="1" x14ac:dyDescent="0.3">
      <c r="B13" s="60" t="str">
        <f>IF(C13="","",IFERROR(DATEDIF(C13,Results!F$11,"y"),0))</f>
        <v/>
      </c>
      <c r="C13" s="17"/>
      <c r="E13" s="21"/>
      <c r="F13" s="61"/>
      <c r="G13" s="25"/>
      <c r="H13" s="17"/>
      <c r="I13" s="160"/>
      <c r="J13" s="161"/>
      <c r="N13" s="17"/>
      <c r="O13" s="17"/>
      <c r="P13" s="21"/>
      <c r="Q13" s="41"/>
      <c r="R13" s="42"/>
      <c r="S13" s="17"/>
      <c r="T13" s="21"/>
      <c r="U13" s="21"/>
      <c r="W13" s="17"/>
      <c r="X13" s="17"/>
      <c r="Y13" s="21"/>
      <c r="Z13" s="42"/>
      <c r="AA13" s="17"/>
      <c r="AB13" s="21"/>
      <c r="AC13" s="21"/>
    </row>
    <row r="14" spans="2:29" ht="15.75" thickBot="1" x14ac:dyDescent="0.3">
      <c r="B14" s="60">
        <f>IF(C14="","",IFERROR(DATEDIF(C14,Results!F$11,"y"),0))</f>
        <v>0</v>
      </c>
      <c r="C14" s="145" t="s">
        <v>107</v>
      </c>
      <c r="D14" s="145"/>
      <c r="E14" s="146"/>
      <c r="F14" s="151">
        <f>'Data sheet'!P27</f>
        <v>766000</v>
      </c>
      <c r="G14" s="152"/>
      <c r="H14" s="17"/>
      <c r="I14" s="160"/>
      <c r="J14" s="161"/>
      <c r="N14" s="17"/>
      <c r="O14" s="17"/>
      <c r="P14" s="21"/>
      <c r="Q14" s="41"/>
      <c r="R14" s="42"/>
      <c r="S14" s="17"/>
      <c r="T14" s="21"/>
      <c r="U14" s="21"/>
      <c r="W14" s="17"/>
      <c r="X14" s="17"/>
      <c r="Y14" s="21"/>
      <c r="Z14" s="42"/>
      <c r="AA14" s="17"/>
      <c r="AB14" s="21"/>
      <c r="AC14" s="21"/>
    </row>
    <row r="15" spans="2:29" ht="15" x14ac:dyDescent="0.25">
      <c r="B15" s="60" t="str">
        <f>IF(C15="","",IFERROR(DATEDIF(C15,Results!F$11,"y"),0))</f>
        <v/>
      </c>
      <c r="C15" s="17"/>
      <c r="E15" s="21"/>
      <c r="F15" s="61"/>
      <c r="G15" s="25"/>
      <c r="H15" s="17"/>
      <c r="I15" s="160"/>
      <c r="J15" s="161"/>
      <c r="N15" s="17"/>
      <c r="O15" s="17"/>
      <c r="P15" s="21"/>
      <c r="Q15" s="41"/>
      <c r="R15" s="42"/>
      <c r="S15" s="17"/>
      <c r="T15" s="21"/>
      <c r="U15" s="21"/>
      <c r="W15" s="17"/>
      <c r="X15" s="17"/>
      <c r="Y15" s="21"/>
      <c r="Z15" s="42"/>
      <c r="AA15" s="17"/>
      <c r="AB15" s="21"/>
      <c r="AC15" s="21"/>
    </row>
    <row r="16" spans="2:29" ht="15" x14ac:dyDescent="0.25">
      <c r="B16" s="60">
        <f>IF(C16="","",IFERROR(DATEDIF(C16,Results!F$11,"y"),0))</f>
        <v>0</v>
      </c>
      <c r="C16" s="164" t="s">
        <v>20</v>
      </c>
      <c r="D16" s="164"/>
      <c r="E16" s="164"/>
      <c r="F16" s="164"/>
      <c r="G16" s="164"/>
      <c r="H16" s="17"/>
      <c r="I16" s="160"/>
      <c r="J16" s="161"/>
      <c r="N16" s="17"/>
      <c r="O16" s="17"/>
      <c r="P16" s="21"/>
      <c r="Q16" s="41"/>
      <c r="R16" s="42"/>
      <c r="S16" s="17"/>
      <c r="T16" s="21"/>
      <c r="U16" s="21"/>
      <c r="W16" s="17"/>
      <c r="X16" s="17"/>
      <c r="Y16" s="21"/>
      <c r="Z16" s="42"/>
      <c r="AA16" s="17"/>
      <c r="AB16" s="21"/>
      <c r="AC16" s="21"/>
    </row>
    <row r="17" spans="2:29" ht="15.75" thickBot="1" x14ac:dyDescent="0.3">
      <c r="B17" s="60" t="str">
        <f>IF(C17="","",IFERROR(DATEDIF(C17,Results!F$11,"y"),0))</f>
        <v/>
      </c>
      <c r="C17" s="17"/>
      <c r="E17" s="21"/>
      <c r="F17" s="61"/>
      <c r="G17" s="25"/>
      <c r="H17" s="17"/>
      <c r="I17" s="84"/>
      <c r="J17" s="85"/>
      <c r="N17" s="17"/>
      <c r="O17" s="17"/>
      <c r="P17" s="21"/>
      <c r="Q17" s="41"/>
      <c r="R17" s="42"/>
      <c r="S17" s="17"/>
      <c r="T17" s="21"/>
      <c r="U17" s="21"/>
      <c r="W17" s="17"/>
      <c r="X17" s="17"/>
      <c r="Y17" s="21"/>
      <c r="Z17" s="42"/>
      <c r="AA17" s="17"/>
      <c r="AB17" s="21"/>
      <c r="AC17" s="21"/>
    </row>
    <row r="18" spans="2:29" ht="15.75" customHeight="1" thickBot="1" x14ac:dyDescent="0.3">
      <c r="B18" s="60">
        <f>IF(C18="","",IFERROR(DATEDIF(C18,Results!F$11,"y"),0))</f>
        <v>0</v>
      </c>
      <c r="C18" s="145" t="s">
        <v>108</v>
      </c>
      <c r="D18" s="145"/>
      <c r="E18" s="146"/>
      <c r="F18" s="151">
        <f>'Data sheet'!P18</f>
        <v>650000</v>
      </c>
      <c r="G18" s="152"/>
      <c r="H18" s="17"/>
      <c r="I18" s="160" t="s">
        <v>62</v>
      </c>
      <c r="J18" s="161"/>
      <c r="N18" s="17"/>
      <c r="O18" s="17"/>
      <c r="P18" s="21"/>
      <c r="Q18" s="41"/>
      <c r="R18" s="42"/>
      <c r="S18" s="17"/>
      <c r="T18" s="21"/>
      <c r="U18" s="21"/>
      <c r="W18" s="17"/>
      <c r="X18" s="17"/>
      <c r="Y18" s="21"/>
      <c r="Z18" s="42"/>
      <c r="AA18" s="17"/>
      <c r="AB18" s="21"/>
      <c r="AC18" s="21"/>
    </row>
    <row r="19" spans="2:29" ht="15.75" thickBot="1" x14ac:dyDescent="0.3">
      <c r="B19" s="60" t="str">
        <f>IF(C19="","",IFERROR(DATEDIF(C19,Results!F$11,"y"),0))</f>
        <v/>
      </c>
      <c r="C19" s="17"/>
      <c r="E19" s="21"/>
      <c r="F19" s="61"/>
      <c r="G19" s="25"/>
      <c r="H19" s="17"/>
      <c r="I19" s="160"/>
      <c r="J19" s="161"/>
      <c r="N19" s="17"/>
      <c r="O19" s="17"/>
      <c r="P19" s="21"/>
      <c r="Q19" s="41"/>
      <c r="R19" s="42"/>
      <c r="S19" s="17"/>
      <c r="T19" s="21"/>
      <c r="U19" s="21"/>
      <c r="W19" s="17"/>
      <c r="X19" s="17"/>
      <c r="Y19" s="21"/>
      <c r="Z19" s="42"/>
      <c r="AA19" s="17"/>
      <c r="AB19" s="21"/>
      <c r="AC19" s="21"/>
    </row>
    <row r="20" spans="2:29" ht="15.75" thickBot="1" x14ac:dyDescent="0.3">
      <c r="B20" s="60">
        <f>IF(C20="","",IFERROR(DATEDIF(C20,Results!F$11,"y"),0))</f>
        <v>0</v>
      </c>
      <c r="C20" s="145" t="s">
        <v>109</v>
      </c>
      <c r="D20" s="145"/>
      <c r="E20" s="146"/>
      <c r="F20" s="151">
        <f>'Data sheet'!P22</f>
        <v>350000</v>
      </c>
      <c r="G20" s="152"/>
      <c r="H20" s="17"/>
      <c r="I20" s="160"/>
      <c r="J20" s="161"/>
      <c r="N20" s="17"/>
      <c r="O20" s="17"/>
      <c r="P20" s="21"/>
      <c r="Q20" s="41"/>
      <c r="R20" s="42"/>
      <c r="S20" s="17"/>
      <c r="T20" s="21"/>
      <c r="U20" s="21"/>
      <c r="W20" s="17"/>
      <c r="X20" s="17"/>
      <c r="Y20" s="21"/>
      <c r="Z20" s="42"/>
      <c r="AA20" s="17"/>
      <c r="AB20" s="21"/>
      <c r="AC20" s="21"/>
    </row>
    <row r="21" spans="2:29" ht="15" x14ac:dyDescent="0.25">
      <c r="B21" s="60"/>
      <c r="C21" s="87"/>
      <c r="D21" s="87"/>
      <c r="E21" s="87"/>
      <c r="F21" s="63"/>
      <c r="G21" s="63"/>
      <c r="H21" s="17"/>
      <c r="I21" s="160"/>
      <c r="J21" s="161"/>
      <c r="N21" s="17"/>
      <c r="O21" s="17"/>
      <c r="P21" s="21"/>
      <c r="Q21" s="41"/>
      <c r="R21" s="42"/>
      <c r="S21" s="17"/>
      <c r="T21" s="21"/>
      <c r="U21" s="21"/>
      <c r="W21" s="17"/>
      <c r="X21" s="17"/>
      <c r="Y21" s="21"/>
      <c r="Z21" s="42"/>
      <c r="AA21" s="17"/>
      <c r="AB21" s="21"/>
      <c r="AC21" s="21"/>
    </row>
    <row r="22" spans="2:29" ht="15" x14ac:dyDescent="0.25">
      <c r="B22" s="60"/>
      <c r="C22" s="150" t="s">
        <v>110</v>
      </c>
      <c r="D22" s="150"/>
      <c r="E22" s="150"/>
      <c r="F22" s="150"/>
      <c r="G22" s="150"/>
      <c r="H22" s="17"/>
      <c r="I22" s="160"/>
      <c r="J22" s="161"/>
      <c r="N22" s="17"/>
      <c r="O22" s="17"/>
      <c r="P22" s="21"/>
      <c r="Q22" s="41"/>
      <c r="R22" s="42"/>
      <c r="S22" s="17"/>
      <c r="T22" s="21"/>
      <c r="U22" s="21"/>
      <c r="W22" s="17"/>
      <c r="X22" s="17"/>
      <c r="Y22" s="21"/>
      <c r="Z22" s="42"/>
      <c r="AA22" s="17"/>
      <c r="AB22" s="21"/>
      <c r="AC22" s="21"/>
    </row>
    <row r="23" spans="2:29" ht="15.75" customHeight="1" thickBot="1" x14ac:dyDescent="0.3">
      <c r="B23" s="60"/>
      <c r="C23" s="87"/>
      <c r="D23" s="87"/>
      <c r="E23" s="87"/>
      <c r="F23" s="87"/>
      <c r="G23" s="87"/>
      <c r="H23" s="17"/>
      <c r="I23" s="157" t="s">
        <v>63</v>
      </c>
      <c r="J23" s="158"/>
      <c r="N23" s="17"/>
      <c r="O23" s="17"/>
      <c r="P23" s="21"/>
      <c r="Q23" s="41"/>
      <c r="R23" s="42"/>
      <c r="S23" s="17"/>
      <c r="T23" s="21"/>
      <c r="U23" s="21"/>
      <c r="W23" s="17"/>
      <c r="X23" s="17"/>
      <c r="Y23" s="21"/>
      <c r="Z23" s="42"/>
      <c r="AA23" s="17"/>
      <c r="AB23" s="21"/>
      <c r="AC23" s="21"/>
    </row>
    <row r="24" spans="2:29" ht="15.75" thickBot="1" x14ac:dyDescent="0.3">
      <c r="B24" s="60"/>
      <c r="C24" s="145" t="s">
        <v>111</v>
      </c>
      <c r="D24" s="145"/>
      <c r="E24" s="146"/>
      <c r="F24" s="151">
        <f ca="1">'Data sheet'!P10</f>
        <v>0</v>
      </c>
      <c r="G24" s="152"/>
      <c r="H24" s="17"/>
      <c r="I24" s="157"/>
      <c r="J24" s="158"/>
      <c r="N24" s="17"/>
      <c r="O24" s="17"/>
      <c r="P24" s="21"/>
      <c r="Q24" s="41"/>
      <c r="R24" s="42"/>
      <c r="S24" s="17"/>
      <c r="T24" s="21"/>
      <c r="U24" s="21"/>
      <c r="W24" s="17"/>
      <c r="X24" s="17"/>
      <c r="Y24" s="21"/>
      <c r="Z24" s="42"/>
      <c r="AA24" s="17"/>
      <c r="AB24" s="21"/>
      <c r="AC24" s="21"/>
    </row>
    <row r="25" spans="2:29" ht="15.75" thickBot="1" x14ac:dyDescent="0.3">
      <c r="B25" s="60"/>
      <c r="C25" s="87"/>
      <c r="D25" s="87"/>
      <c r="E25" s="87"/>
      <c r="F25" s="64"/>
      <c r="G25" s="64"/>
      <c r="H25" s="17"/>
      <c r="I25" s="157"/>
      <c r="J25" s="158"/>
      <c r="N25" s="17"/>
      <c r="O25" s="17"/>
      <c r="P25" s="21"/>
      <c r="Q25" s="41"/>
      <c r="R25" s="42"/>
      <c r="S25" s="17"/>
      <c r="T25" s="21"/>
      <c r="U25" s="21"/>
      <c r="W25" s="17"/>
      <c r="X25" s="17"/>
      <c r="Y25" s="21"/>
      <c r="Z25" s="42"/>
      <c r="AA25" s="17"/>
      <c r="AB25" s="21"/>
      <c r="AC25" s="21"/>
    </row>
    <row r="26" spans="2:29" ht="15.75" thickBot="1" x14ac:dyDescent="0.3">
      <c r="B26" s="60"/>
      <c r="C26" s="155" t="s">
        <v>112</v>
      </c>
      <c r="D26" s="155"/>
      <c r="E26" s="156"/>
      <c r="F26" s="153">
        <f>'Data sheet'!Q56</f>
        <v>0</v>
      </c>
      <c r="G26" s="154"/>
      <c r="H26" s="17"/>
      <c r="I26" s="157"/>
      <c r="J26" s="158"/>
      <c r="N26" s="17"/>
      <c r="O26" s="17"/>
      <c r="P26" s="21"/>
      <c r="Q26" s="41"/>
      <c r="R26" s="42"/>
      <c r="S26" s="17"/>
      <c r="T26" s="21"/>
      <c r="U26" s="21"/>
      <c r="W26" s="17"/>
      <c r="X26" s="17"/>
      <c r="Y26" s="21"/>
      <c r="Z26" s="42"/>
      <c r="AA26" s="17"/>
      <c r="AB26" s="21"/>
      <c r="AC26" s="21"/>
    </row>
    <row r="27" spans="2:29" ht="15" x14ac:dyDescent="0.25">
      <c r="B27" s="60" t="str">
        <f>IF(C27="","",IFERROR(DATEDIF(C27,Results!F$11,"y"),0))</f>
        <v/>
      </c>
      <c r="C27" s="17"/>
      <c r="E27" s="21"/>
      <c r="F27" s="61"/>
      <c r="G27" s="25"/>
      <c r="H27" s="17"/>
      <c r="I27" s="157"/>
      <c r="J27" s="158"/>
      <c r="N27" s="17"/>
      <c r="O27" s="17"/>
      <c r="P27" s="21"/>
      <c r="Q27" s="41"/>
      <c r="R27" s="42"/>
      <c r="S27" s="17"/>
      <c r="T27" s="21"/>
      <c r="U27" s="21"/>
      <c r="W27" s="17"/>
      <c r="X27" s="17"/>
      <c r="Y27" s="21"/>
      <c r="Z27" s="42"/>
      <c r="AA27" s="17"/>
      <c r="AB27" s="21"/>
      <c r="AC27" s="21"/>
    </row>
    <row r="28" spans="2:29" ht="15.75" customHeight="1" x14ac:dyDescent="0.25">
      <c r="B28" s="60">
        <f>IF(C28="","",IFERROR(DATEDIF(C28,Results!F$11,"y"),0))</f>
        <v>0</v>
      </c>
      <c r="C28" s="150" t="s">
        <v>113</v>
      </c>
      <c r="D28" s="150"/>
      <c r="E28" s="150"/>
      <c r="F28" s="150"/>
      <c r="G28" s="150"/>
      <c r="H28" s="17"/>
      <c r="I28" s="162" t="s">
        <v>64</v>
      </c>
      <c r="J28" s="163"/>
      <c r="N28" s="17"/>
      <c r="O28" s="17"/>
      <c r="P28" s="21"/>
      <c r="Q28" s="41"/>
      <c r="R28" s="42"/>
      <c r="S28" s="17"/>
      <c r="T28" s="21"/>
      <c r="U28" s="21"/>
      <c r="W28" s="17"/>
      <c r="X28" s="17"/>
      <c r="Y28" s="21"/>
      <c r="Z28" s="42"/>
      <c r="AA28" s="17"/>
      <c r="AB28" s="21"/>
      <c r="AC28" s="21"/>
    </row>
    <row r="29" spans="2:29" ht="15.75" thickBot="1" x14ac:dyDescent="0.3">
      <c r="B29" s="60" t="str">
        <f>IF(C29="","",IFERROR(DATEDIF(C29,Results!F$11,"y"),0))</f>
        <v/>
      </c>
      <c r="C29" s="17"/>
      <c r="E29" s="21"/>
      <c r="F29" s="61"/>
      <c r="G29" s="25"/>
      <c r="H29" s="17"/>
      <c r="I29" s="162"/>
      <c r="J29" s="163"/>
      <c r="N29" s="17"/>
      <c r="O29" s="17"/>
      <c r="P29" s="21"/>
      <c r="Q29" s="41"/>
      <c r="R29" s="42"/>
      <c r="S29" s="17"/>
      <c r="T29" s="21"/>
      <c r="U29" s="21"/>
      <c r="W29" s="17"/>
      <c r="X29" s="17"/>
      <c r="Y29" s="21"/>
      <c r="Z29" s="42"/>
      <c r="AA29" s="17"/>
      <c r="AB29" s="21"/>
      <c r="AC29" s="21"/>
    </row>
    <row r="30" spans="2:29" ht="15.75" thickBot="1" x14ac:dyDescent="0.3">
      <c r="B30" s="60">
        <f>IF(C30="","",IFERROR(DATEDIF(C30,Results!F$11,"y"),0))</f>
        <v>0</v>
      </c>
      <c r="C30" s="145" t="s">
        <v>114</v>
      </c>
      <c r="D30" s="145"/>
      <c r="E30" s="146"/>
      <c r="F30" s="151">
        <f ca="1">'Data sheet'!P29</f>
        <v>0</v>
      </c>
      <c r="G30" s="152"/>
      <c r="H30" s="17"/>
      <c r="I30" s="162"/>
      <c r="J30" s="163"/>
      <c r="N30" s="17"/>
      <c r="O30" s="17"/>
      <c r="P30" s="21"/>
      <c r="Q30" s="41"/>
      <c r="R30" s="42"/>
      <c r="S30" s="17"/>
      <c r="T30" s="21"/>
      <c r="U30" s="21"/>
      <c r="W30" s="17"/>
      <c r="X30" s="17"/>
      <c r="Y30" s="21"/>
      <c r="Z30" s="42"/>
      <c r="AA30" s="17"/>
      <c r="AB30" s="21"/>
      <c r="AC30" s="21"/>
    </row>
    <row r="31" spans="2:29" ht="15.75" thickBot="1" x14ac:dyDescent="0.3">
      <c r="B31" s="3"/>
      <c r="C31" s="145"/>
      <c r="D31" s="145"/>
      <c r="E31" s="145"/>
      <c r="F31" s="165"/>
      <c r="G31" s="165"/>
      <c r="J31" s="62"/>
    </row>
    <row r="32" spans="2:29" ht="15" customHeight="1" thickBot="1" x14ac:dyDescent="0.3">
      <c r="B32" s="3"/>
      <c r="C32" s="145" t="s">
        <v>115</v>
      </c>
      <c r="D32" s="145"/>
      <c r="E32" s="146"/>
      <c r="F32" s="153">
        <f ca="1">'Data sheet'!P31-F26</f>
        <v>0</v>
      </c>
      <c r="G32" s="154"/>
      <c r="I32" s="157" t="s">
        <v>65</v>
      </c>
      <c r="J32" s="158"/>
    </row>
    <row r="33" spans="2:10" ht="15" customHeight="1" x14ac:dyDescent="0.25">
      <c r="B33" s="3"/>
      <c r="C33" s="145"/>
      <c r="D33" s="145"/>
      <c r="E33" s="145"/>
      <c r="F33" s="67"/>
      <c r="G33" s="67"/>
      <c r="I33" s="157"/>
      <c r="J33" s="158"/>
    </row>
    <row r="34" spans="2:10" ht="15" customHeight="1" x14ac:dyDescent="0.25">
      <c r="B34" s="3"/>
      <c r="C34" s="69"/>
      <c r="D34" s="69"/>
      <c r="E34" s="69"/>
      <c r="F34" s="70"/>
      <c r="G34" s="70"/>
      <c r="I34" s="157"/>
      <c r="J34" s="158"/>
    </row>
    <row r="35" spans="2:10" ht="15" customHeight="1" thickBot="1" x14ac:dyDescent="0.3">
      <c r="B35" s="3"/>
      <c r="C35" s="88"/>
      <c r="D35" s="88"/>
      <c r="E35" s="88"/>
      <c r="F35" s="68"/>
      <c r="G35" s="68"/>
      <c r="I35" s="157" t="s">
        <v>66</v>
      </c>
      <c r="J35" s="158"/>
    </row>
    <row r="36" spans="2:10" ht="15.75" thickBot="1" x14ac:dyDescent="0.3">
      <c r="B36" s="3"/>
      <c r="C36" s="66" t="s">
        <v>116</v>
      </c>
      <c r="D36" s="66"/>
      <c r="E36" s="66"/>
      <c r="F36" s="153">
        <f ca="1">'Data sheet'!P31</f>
        <v>0</v>
      </c>
      <c r="G36" s="159"/>
      <c r="I36" s="157"/>
      <c r="J36" s="158"/>
    </row>
    <row r="37" spans="2:10" ht="15" x14ac:dyDescent="0.25">
      <c r="B37" s="3"/>
      <c r="C37" s="66"/>
      <c r="D37" s="66"/>
      <c r="E37" s="66"/>
      <c r="F37" s="68"/>
      <c r="G37" s="88"/>
      <c r="I37" s="157"/>
      <c r="J37" s="158"/>
    </row>
    <row r="38" spans="2:10" ht="15.75" thickBot="1" x14ac:dyDescent="0.3">
      <c r="B38" s="18"/>
      <c r="C38" s="19"/>
      <c r="D38" s="19"/>
      <c r="E38" s="19"/>
      <c r="F38" s="19"/>
      <c r="G38" s="19"/>
      <c r="H38" s="19"/>
      <c r="I38" s="19"/>
      <c r="J38" s="20"/>
    </row>
    <row r="39" spans="2:10" ht="15.75" thickTop="1" x14ac:dyDescent="0.25"/>
    <row r="40" spans="2:10" ht="15" x14ac:dyDescent="0.25"/>
    <row r="41" spans="2:10" ht="15" customHeight="1" x14ac:dyDescent="0.25"/>
    <row r="42" spans="2:10" ht="15" hidden="1" customHeight="1" x14ac:dyDescent="0.25"/>
    <row r="43" spans="2:10" ht="15" hidden="1" customHeight="1" x14ac:dyDescent="0.25"/>
  </sheetData>
  <sheetProtection algorithmName="SHA-512" hashValue="K3KC6EXLU3XUnI+HK0LG1hEB3f4OaudrOP5RiZr2I5aTBmhh2et54rB/8GucFn0QBQlaFImdvEm7z2lPU741DA==" saltValue="HpvIXLK4iCzSEBwv/qmh2g==" spinCount="100000" sheet="1" selectLockedCells="1" selectUnlockedCells="1"/>
  <mergeCells count="34">
    <mergeCell ref="I35:J37"/>
    <mergeCell ref="F36:G36"/>
    <mergeCell ref="I12:J16"/>
    <mergeCell ref="I18:J22"/>
    <mergeCell ref="I23:J27"/>
    <mergeCell ref="I28:J30"/>
    <mergeCell ref="I32:J34"/>
    <mergeCell ref="F18:G18"/>
    <mergeCell ref="C16:G16"/>
    <mergeCell ref="C14:E14"/>
    <mergeCell ref="F14:G14"/>
    <mergeCell ref="C18:E18"/>
    <mergeCell ref="C31:E31"/>
    <mergeCell ref="C33:E33"/>
    <mergeCell ref="F31:G31"/>
    <mergeCell ref="C20:E20"/>
    <mergeCell ref="F20:G20"/>
    <mergeCell ref="C24:E24"/>
    <mergeCell ref="F24:G24"/>
    <mergeCell ref="C26:E26"/>
    <mergeCell ref="F26:G26"/>
    <mergeCell ref="C28:G28"/>
    <mergeCell ref="C22:G22"/>
    <mergeCell ref="C30:E30"/>
    <mergeCell ref="C32:E32"/>
    <mergeCell ref="F30:G30"/>
    <mergeCell ref="F32:G32"/>
    <mergeCell ref="D5:J5"/>
    <mergeCell ref="F8:G8"/>
    <mergeCell ref="C10:E10"/>
    <mergeCell ref="F10:G10"/>
    <mergeCell ref="C12:E12"/>
    <mergeCell ref="F12:G12"/>
    <mergeCell ref="C8:E8"/>
  </mergeCells>
  <conditionalFormatting sqref="E11 E13 E15 E17 E19 E27 E29">
    <cfRule type="expression" dxfId="6" priority="1">
      <formula>$U11&gt;0</formula>
    </cfRule>
  </conditionalFormatting>
  <conditionalFormatting sqref="J11">
    <cfRule type="expression" dxfId="5" priority="3">
      <formula>$AC$11&gt;0</formula>
    </cfRule>
  </conditionalFormatting>
  <dataValidations count="2">
    <dataValidation type="list" allowBlank="1" showInputMessage="1" showErrorMessage="1" sqref="D11" xr:uid="{A9E11E66-BAC2-4EFA-8E94-B0C706571BB6}">
      <formula1>Type_of_gift</formula1>
    </dataValidation>
    <dataValidation type="date" operator="greaterThanOrEqual" allowBlank="1" showInputMessage="1" showErrorMessage="1" errorTitle="Proposed gift" error="The gift entered can't be in the past" sqref="H11:H30" xr:uid="{141628FF-E98D-43A3-8527-AD3AAF9BED06}">
      <formula1>D$7</formula1>
    </dataValidation>
  </dataValidations>
  <pageMargins left="0.7" right="0.7" top="0.75" bottom="0.75" header="0.3" footer="0.3"/>
  <pageSetup paperSize="9" scale="6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78EB-6E8D-4840-B8EB-F7C7AF280026}">
  <dimension ref="A1:AC43"/>
  <sheetViews>
    <sheetView showGridLines="0" showRowColHeaders="0" zoomScaleNormal="100" workbookViewId="0">
      <selection activeCell="F7" sqref="F7"/>
    </sheetView>
  </sheetViews>
  <sheetFormatPr defaultColWidth="0" defaultRowHeight="0" customHeight="1" zeroHeight="1" x14ac:dyDescent="0.25"/>
  <cols>
    <col min="1" max="2" width="9.140625" customWidth="1"/>
    <col min="3" max="3" width="14.7109375" customWidth="1"/>
    <col min="4" max="4" width="11.7109375" customWidth="1"/>
    <col min="5" max="5" width="18.28515625" customWidth="1"/>
    <col min="6" max="6" width="14.28515625" customWidth="1"/>
    <col min="7" max="7" width="12.28515625" customWidth="1"/>
    <col min="8" max="8" width="5.7109375" customWidth="1"/>
    <col min="9" max="9" width="11.7109375" customWidth="1"/>
    <col min="10" max="10" width="24.7109375" customWidth="1"/>
    <col min="11" max="11" width="9.140625" customWidth="1"/>
    <col min="12" max="13" width="9.140625" hidden="1" customWidth="1"/>
    <col min="14" max="14" width="10.7109375" hidden="1" customWidth="1"/>
    <col min="15" max="15" width="9.140625" hidden="1" customWidth="1"/>
    <col min="16" max="16" width="12.5703125" hidden="1" customWidth="1"/>
    <col min="17" max="17" width="11" hidden="1" customWidth="1"/>
    <col min="18" max="18" width="9.140625" hidden="1" customWidth="1"/>
    <col min="19" max="19" width="10.7109375" hidden="1" customWidth="1"/>
    <col min="20" max="20" width="12.7109375" hidden="1" customWidth="1"/>
    <col min="21" max="21" width="12.5703125" hidden="1" customWidth="1"/>
    <col min="22" max="22" width="9.140625" hidden="1" customWidth="1"/>
    <col min="23" max="23" width="11.140625" hidden="1" customWidth="1"/>
    <col min="24" max="24" width="11.7109375" hidden="1" customWidth="1"/>
    <col min="25" max="25" width="12.5703125" hidden="1" customWidth="1"/>
    <col min="26" max="26" width="9.140625" hidden="1" customWidth="1"/>
    <col min="27" max="27" width="10.85546875" hidden="1" customWidth="1"/>
    <col min="28" max="28" width="12.7109375" hidden="1" customWidth="1"/>
    <col min="29" max="29" width="11.5703125" hidden="1" customWidth="1"/>
    <col min="30" max="16384" width="9.140625" hidden="1"/>
  </cols>
  <sheetData>
    <row r="1" spans="2:29" ht="15" x14ac:dyDescent="0.25"/>
    <row r="2" spans="2:29" ht="15.75" thickBot="1" x14ac:dyDescent="0.3"/>
    <row r="3" spans="2:29" ht="15.75" thickTop="1" x14ac:dyDescent="0.25">
      <c r="B3" s="1"/>
      <c r="C3" s="2"/>
      <c r="D3" s="2"/>
      <c r="E3" s="2"/>
      <c r="F3" s="2"/>
      <c r="G3" s="2"/>
      <c r="H3" s="2"/>
      <c r="I3" s="2"/>
      <c r="J3" s="8"/>
    </row>
    <row r="4" spans="2:29" ht="15" x14ac:dyDescent="0.25">
      <c r="B4" s="3"/>
      <c r="J4" s="9"/>
    </row>
    <row r="5" spans="2:29" ht="21" x14ac:dyDescent="0.35">
      <c r="B5" s="3"/>
      <c r="D5" s="91" t="s">
        <v>102</v>
      </c>
      <c r="E5" s="91"/>
      <c r="F5" s="91"/>
      <c r="G5" s="91"/>
      <c r="H5" s="91"/>
      <c r="I5" s="91"/>
      <c r="J5" s="140"/>
    </row>
    <row r="6" spans="2:29" ht="15" x14ac:dyDescent="0.25">
      <c r="B6" s="3"/>
      <c r="J6" s="9"/>
    </row>
    <row r="7" spans="2:29" ht="17.25" customHeight="1" x14ac:dyDescent="0.25">
      <c r="B7" s="3"/>
      <c r="C7" s="4"/>
      <c r="D7" s="29">
        <f ca="1">TODAY()</f>
        <v>46218</v>
      </c>
      <c r="E7" s="29">
        <f ca="1">DATE(YEAR(D7)-7,MONTH(D7),DAY(D7))</f>
        <v>43661</v>
      </c>
      <c r="F7" s="4"/>
      <c r="G7" s="4"/>
      <c r="H7" s="83"/>
      <c r="I7" s="83"/>
      <c r="J7" s="54"/>
    </row>
    <row r="8" spans="2:29" ht="15" customHeight="1" x14ac:dyDescent="0.25">
      <c r="B8" s="3"/>
      <c r="C8" s="149" t="str">
        <f>IF(Results!E7="","",Results!E7)</f>
        <v/>
      </c>
      <c r="D8" s="149"/>
      <c r="E8" s="149"/>
      <c r="F8" s="73" t="s">
        <v>117</v>
      </c>
      <c r="G8" s="86">
        <f>Results!F11</f>
        <v>0</v>
      </c>
      <c r="J8" s="55"/>
    </row>
    <row r="9" spans="2:29" ht="16.5" thickBot="1" x14ac:dyDescent="0.3">
      <c r="B9" s="3"/>
      <c r="C9" s="13"/>
      <c r="D9" s="13"/>
      <c r="E9" s="13"/>
      <c r="F9" s="13"/>
      <c r="G9" s="13"/>
      <c r="H9" s="13"/>
      <c r="I9" s="13"/>
      <c r="J9" s="56"/>
    </row>
    <row r="10" spans="2:29" ht="15.75" customHeight="1" thickBot="1" x14ac:dyDescent="0.3">
      <c r="B10" s="3"/>
      <c r="C10" s="142" t="s">
        <v>104</v>
      </c>
      <c r="D10" s="142"/>
      <c r="E10" s="142"/>
      <c r="F10" s="143">
        <f>SUM('Data sheet'!X2:X9)</f>
        <v>766000</v>
      </c>
      <c r="G10" s="144"/>
      <c r="H10" s="57"/>
      <c r="I10" s="58"/>
      <c r="J10" s="59"/>
      <c r="N10" s="43"/>
      <c r="O10" s="44"/>
      <c r="P10" s="45"/>
      <c r="Q10" s="45"/>
      <c r="R10" s="79"/>
      <c r="S10" s="79"/>
      <c r="W10" s="43"/>
      <c r="X10" s="44"/>
      <c r="Y10" s="45"/>
      <c r="Z10" s="79"/>
      <c r="AA10" s="79"/>
    </row>
    <row r="11" spans="2:29" ht="15.75" thickBot="1" x14ac:dyDescent="0.3">
      <c r="B11" s="60">
        <f>IF(C11="","",IFERROR(DATEDIF(C11,Results!F$11,"y"),0))</f>
        <v>0</v>
      </c>
      <c r="C11" s="17" t="s">
        <v>105</v>
      </c>
      <c r="E11" s="21"/>
      <c r="F11" s="61"/>
      <c r="G11" s="25" t="str">
        <f t="shared" ref="G11" si="0">IF(F11="","",IF(F11&gt;=14,"Remove",""))</f>
        <v/>
      </c>
      <c r="H11" s="17"/>
      <c r="J11" s="62"/>
      <c r="N11" s="17"/>
      <c r="O11" s="17"/>
      <c r="P11" s="21"/>
      <c r="Q11" s="41"/>
      <c r="R11" s="42"/>
      <c r="S11" s="17"/>
      <c r="T11" s="21"/>
      <c r="U11" s="21"/>
      <c r="W11" s="17"/>
      <c r="X11" s="17"/>
      <c r="Y11" s="21"/>
      <c r="Z11" s="42"/>
      <c r="AA11" s="17"/>
      <c r="AB11" s="21"/>
      <c r="AC11" s="21"/>
    </row>
    <row r="12" spans="2:29" ht="15.75" thickBot="1" x14ac:dyDescent="0.3">
      <c r="B12" s="60">
        <f>IF(C12="","",IFERROR(DATEDIF(C12,Results!F$11,"y"),0))</f>
        <v>0</v>
      </c>
      <c r="C12" s="145" t="s">
        <v>106</v>
      </c>
      <c r="D12" s="145"/>
      <c r="E12" s="146"/>
      <c r="F12" s="147">
        <f>SUM('Data sheet'!X12:X14)</f>
        <v>0</v>
      </c>
      <c r="G12" s="148"/>
      <c r="H12" s="17"/>
      <c r="I12" s="160" t="s">
        <v>61</v>
      </c>
      <c r="J12" s="161"/>
      <c r="N12" s="17"/>
      <c r="O12" s="17"/>
      <c r="P12" s="21"/>
      <c r="Q12" s="41"/>
      <c r="R12" s="42"/>
      <c r="S12" s="17"/>
      <c r="T12" s="21"/>
      <c r="U12" s="21"/>
      <c r="W12" s="17"/>
      <c r="X12" s="17"/>
      <c r="Y12" s="21"/>
      <c r="Z12" s="42"/>
      <c r="AA12" s="17"/>
      <c r="AB12" s="21"/>
      <c r="AC12" s="21"/>
    </row>
    <row r="13" spans="2:29" ht="15.75" thickBot="1" x14ac:dyDescent="0.3">
      <c r="B13" s="60" t="str">
        <f>IF(C13="","",IFERROR(DATEDIF(C13,Results!F$11,"y"),0))</f>
        <v/>
      </c>
      <c r="C13" s="17"/>
      <c r="E13" s="21"/>
      <c r="F13" s="61"/>
      <c r="G13" s="25"/>
      <c r="H13" s="17"/>
      <c r="I13" s="160"/>
      <c r="J13" s="161"/>
      <c r="N13" s="17"/>
      <c r="O13" s="17"/>
      <c r="P13" s="21"/>
      <c r="Q13" s="41"/>
      <c r="R13" s="42"/>
      <c r="S13" s="17"/>
      <c r="T13" s="21"/>
      <c r="U13" s="21"/>
      <c r="W13" s="17"/>
      <c r="X13" s="17"/>
      <c r="Y13" s="21"/>
      <c r="Z13" s="42"/>
      <c r="AA13" s="17"/>
      <c r="AB13" s="21"/>
      <c r="AC13" s="21"/>
    </row>
    <row r="14" spans="2:29" ht="15.75" thickBot="1" x14ac:dyDescent="0.3">
      <c r="B14" s="60">
        <f>IF(C14="","",IFERROR(DATEDIF(C14,Results!F$11,"y"),0))</f>
        <v>0</v>
      </c>
      <c r="C14" s="145" t="s">
        <v>107</v>
      </c>
      <c r="D14" s="145"/>
      <c r="E14" s="146"/>
      <c r="F14" s="151">
        <f>'Data sheet'!X27</f>
        <v>766000</v>
      </c>
      <c r="G14" s="152"/>
      <c r="H14" s="17"/>
      <c r="I14" s="160"/>
      <c r="J14" s="161"/>
      <c r="N14" s="17"/>
      <c r="O14" s="17"/>
      <c r="P14" s="21"/>
      <c r="Q14" s="41"/>
      <c r="R14" s="42"/>
      <c r="S14" s="17"/>
      <c r="T14" s="21"/>
      <c r="U14" s="21"/>
      <c r="W14" s="17"/>
      <c r="X14" s="17"/>
      <c r="Y14" s="21"/>
      <c r="Z14" s="42"/>
      <c r="AA14" s="17"/>
      <c r="AB14" s="21"/>
      <c r="AC14" s="21"/>
    </row>
    <row r="15" spans="2:29" ht="15" x14ac:dyDescent="0.25">
      <c r="B15" s="60" t="str">
        <f>IF(C15="","",IFERROR(DATEDIF(C15,Results!F$11,"y"),0))</f>
        <v/>
      </c>
      <c r="C15" s="17"/>
      <c r="E15" s="21"/>
      <c r="F15" s="61"/>
      <c r="G15" s="25"/>
      <c r="H15" s="17"/>
      <c r="I15" s="160"/>
      <c r="J15" s="161"/>
      <c r="N15" s="17"/>
      <c r="O15" s="17"/>
      <c r="P15" s="21"/>
      <c r="Q15" s="41"/>
      <c r="R15" s="42"/>
      <c r="S15" s="17"/>
      <c r="T15" s="21"/>
      <c r="U15" s="21"/>
      <c r="W15" s="17"/>
      <c r="X15" s="17"/>
      <c r="Y15" s="21"/>
      <c r="Z15" s="42"/>
      <c r="AA15" s="17"/>
      <c r="AB15" s="21"/>
      <c r="AC15" s="21"/>
    </row>
    <row r="16" spans="2:29" ht="15" x14ac:dyDescent="0.25">
      <c r="B16" s="60">
        <f>IF(C16="","",IFERROR(DATEDIF(C16,Results!F$11,"y"),0))</f>
        <v>0</v>
      </c>
      <c r="C16" s="164" t="s">
        <v>20</v>
      </c>
      <c r="D16" s="164"/>
      <c r="E16" s="164"/>
      <c r="F16" s="164"/>
      <c r="G16" s="164"/>
      <c r="H16" s="17"/>
      <c r="I16" s="160"/>
      <c r="J16" s="161"/>
      <c r="N16" s="17"/>
      <c r="O16" s="17"/>
      <c r="P16" s="21"/>
      <c r="Q16" s="41"/>
      <c r="R16" s="42"/>
      <c r="S16" s="17"/>
      <c r="T16" s="21"/>
      <c r="U16" s="21"/>
      <c r="W16" s="17"/>
      <c r="X16" s="17"/>
      <c r="Y16" s="21"/>
      <c r="Z16" s="42"/>
      <c r="AA16" s="17"/>
      <c r="AB16" s="21"/>
      <c r="AC16" s="21"/>
    </row>
    <row r="17" spans="2:29" ht="15.75" thickBot="1" x14ac:dyDescent="0.3">
      <c r="B17" s="60" t="str">
        <f>IF(C17="","",IFERROR(DATEDIF(C17,Results!F$11,"y"),0))</f>
        <v/>
      </c>
      <c r="C17" s="17"/>
      <c r="E17" s="21"/>
      <c r="F17" s="61"/>
      <c r="G17" s="25"/>
      <c r="H17" s="17"/>
      <c r="J17" s="62"/>
      <c r="N17" s="17"/>
      <c r="O17" s="17"/>
      <c r="P17" s="21"/>
      <c r="Q17" s="41"/>
      <c r="R17" s="42"/>
      <c r="S17" s="17"/>
      <c r="T17" s="21"/>
      <c r="U17" s="21"/>
      <c r="W17" s="17"/>
      <c r="X17" s="17"/>
      <c r="Y17" s="21"/>
      <c r="Z17" s="42"/>
      <c r="AA17" s="17"/>
      <c r="AB17" s="21"/>
      <c r="AC17" s="21"/>
    </row>
    <row r="18" spans="2:29" ht="15.75" thickBot="1" x14ac:dyDescent="0.3">
      <c r="B18" s="60">
        <f>IF(C18="","",IFERROR(DATEDIF(C18,Results!F$11,"y"),0))</f>
        <v>0</v>
      </c>
      <c r="C18" s="145" t="s">
        <v>108</v>
      </c>
      <c r="D18" s="145"/>
      <c r="E18" s="146"/>
      <c r="F18" s="151" t="e">
        <f>'Data sheet'!X18</f>
        <v>#N/A</v>
      </c>
      <c r="G18" s="152"/>
      <c r="H18" s="17"/>
      <c r="I18" s="160" t="s">
        <v>62</v>
      </c>
      <c r="J18" s="161"/>
      <c r="N18" s="17"/>
      <c r="O18" s="17"/>
      <c r="P18" s="21"/>
      <c r="Q18" s="41"/>
      <c r="R18" s="42"/>
      <c r="S18" s="17"/>
      <c r="T18" s="21"/>
      <c r="U18" s="21"/>
      <c r="W18" s="17"/>
      <c r="X18" s="17"/>
      <c r="Y18" s="21"/>
      <c r="Z18" s="42"/>
      <c r="AA18" s="17"/>
      <c r="AB18" s="21"/>
      <c r="AC18" s="21"/>
    </row>
    <row r="19" spans="2:29" ht="15.75" thickBot="1" x14ac:dyDescent="0.3">
      <c r="B19" s="60" t="str">
        <f>IF(C19="","",IFERROR(DATEDIF(C19,Results!F$11,"y"),0))</f>
        <v/>
      </c>
      <c r="C19" s="17"/>
      <c r="E19" s="21"/>
      <c r="F19" s="61"/>
      <c r="G19" s="25"/>
      <c r="H19" s="17"/>
      <c r="I19" s="160"/>
      <c r="J19" s="161"/>
      <c r="N19" s="17"/>
      <c r="O19" s="17"/>
      <c r="P19" s="21"/>
      <c r="Q19" s="41"/>
      <c r="R19" s="42"/>
      <c r="S19" s="17"/>
      <c r="T19" s="21"/>
      <c r="U19" s="21"/>
      <c r="W19" s="17"/>
      <c r="X19" s="17"/>
      <c r="Y19" s="21"/>
      <c r="Z19" s="42"/>
      <c r="AA19" s="17"/>
      <c r="AB19" s="21"/>
      <c r="AC19" s="21"/>
    </row>
    <row r="20" spans="2:29" ht="15.75" thickBot="1" x14ac:dyDescent="0.3">
      <c r="B20" s="60">
        <f>IF(C20="","",IFERROR(DATEDIF(C20,Results!F$11,"y"),0))</f>
        <v>0</v>
      </c>
      <c r="C20" s="145" t="s">
        <v>109</v>
      </c>
      <c r="D20" s="145"/>
      <c r="E20" s="146"/>
      <c r="F20" s="151" t="e">
        <f>'Data sheet'!X22</f>
        <v>#N/A</v>
      </c>
      <c r="G20" s="152"/>
      <c r="H20" s="17"/>
      <c r="I20" s="160"/>
      <c r="J20" s="161"/>
      <c r="N20" s="17"/>
      <c r="O20" s="17"/>
      <c r="P20" s="21"/>
      <c r="Q20" s="41"/>
      <c r="R20" s="42"/>
      <c r="S20" s="17"/>
      <c r="T20" s="21"/>
      <c r="U20" s="21"/>
      <c r="W20" s="17"/>
      <c r="X20" s="17"/>
      <c r="Y20" s="21"/>
      <c r="Z20" s="42"/>
      <c r="AA20" s="17"/>
      <c r="AB20" s="21"/>
      <c r="AC20" s="21"/>
    </row>
    <row r="21" spans="2:29" ht="15" x14ac:dyDescent="0.25">
      <c r="B21" s="60"/>
      <c r="C21" s="87"/>
      <c r="D21" s="87"/>
      <c r="E21" s="87"/>
      <c r="F21" s="63"/>
      <c r="G21" s="63"/>
      <c r="H21" s="17"/>
      <c r="I21" s="160"/>
      <c r="J21" s="161"/>
      <c r="N21" s="17"/>
      <c r="O21" s="17"/>
      <c r="P21" s="21"/>
      <c r="Q21" s="41"/>
      <c r="R21" s="42"/>
      <c r="S21" s="17"/>
      <c r="T21" s="21"/>
      <c r="U21" s="21"/>
      <c r="W21" s="17"/>
      <c r="X21" s="17"/>
      <c r="Y21" s="21"/>
      <c r="Z21" s="42"/>
      <c r="AA21" s="17"/>
      <c r="AB21" s="21"/>
      <c r="AC21" s="21"/>
    </row>
    <row r="22" spans="2:29" ht="15" x14ac:dyDescent="0.25">
      <c r="B22" s="60"/>
      <c r="C22" s="150" t="s">
        <v>110</v>
      </c>
      <c r="D22" s="150"/>
      <c r="E22" s="150"/>
      <c r="F22" s="150"/>
      <c r="G22" s="150"/>
      <c r="H22" s="17"/>
      <c r="I22" s="160"/>
      <c r="J22" s="161"/>
      <c r="N22" s="17"/>
      <c r="O22" s="17"/>
      <c r="P22" s="21"/>
      <c r="Q22" s="41"/>
      <c r="R22" s="42"/>
      <c r="S22" s="17"/>
      <c r="T22" s="21"/>
      <c r="U22" s="21"/>
      <c r="W22" s="17"/>
      <c r="X22" s="17"/>
      <c r="Y22" s="21"/>
      <c r="Z22" s="42"/>
      <c r="AA22" s="17"/>
      <c r="AB22" s="21"/>
      <c r="AC22" s="21"/>
    </row>
    <row r="23" spans="2:29" ht="15.75" thickBot="1" x14ac:dyDescent="0.3">
      <c r="B23" s="60"/>
      <c r="C23" s="87"/>
      <c r="D23" s="87"/>
      <c r="E23" s="87"/>
      <c r="F23" s="87"/>
      <c r="G23" s="87"/>
      <c r="H23" s="17"/>
      <c r="I23" s="157" t="s">
        <v>63</v>
      </c>
      <c r="J23" s="158"/>
      <c r="N23" s="17"/>
      <c r="O23" s="17"/>
      <c r="P23" s="21"/>
      <c r="Q23" s="41"/>
      <c r="R23" s="42"/>
      <c r="S23" s="17"/>
      <c r="T23" s="21"/>
      <c r="U23" s="21"/>
      <c r="W23" s="17"/>
      <c r="X23" s="17"/>
      <c r="Y23" s="21"/>
      <c r="Z23" s="42"/>
      <c r="AA23" s="17"/>
      <c r="AB23" s="21"/>
      <c r="AC23" s="21"/>
    </row>
    <row r="24" spans="2:29" ht="15.75" thickBot="1" x14ac:dyDescent="0.3">
      <c r="B24" s="60"/>
      <c r="C24" s="145" t="s">
        <v>111</v>
      </c>
      <c r="D24" s="145"/>
      <c r="E24" s="146"/>
      <c r="F24" s="166">
        <f>'Data sheet'!X10</f>
        <v>0</v>
      </c>
      <c r="G24" s="167"/>
      <c r="H24" s="17"/>
      <c r="I24" s="157"/>
      <c r="J24" s="158"/>
      <c r="N24" s="17"/>
      <c r="O24" s="17"/>
      <c r="P24" s="21"/>
      <c r="Q24" s="41"/>
      <c r="R24" s="42"/>
      <c r="S24" s="17"/>
      <c r="T24" s="21"/>
      <c r="U24" s="21"/>
      <c r="W24" s="17"/>
      <c r="X24" s="17"/>
      <c r="Y24" s="21"/>
      <c r="Z24" s="42"/>
      <c r="AA24" s="17"/>
      <c r="AB24" s="21"/>
      <c r="AC24" s="21"/>
    </row>
    <row r="25" spans="2:29" ht="15.75" thickBot="1" x14ac:dyDescent="0.3">
      <c r="B25" s="60"/>
      <c r="C25" s="87"/>
      <c r="D25" s="87"/>
      <c r="E25" s="87"/>
      <c r="F25" s="64"/>
      <c r="G25" s="64"/>
      <c r="H25" s="17"/>
      <c r="I25" s="157"/>
      <c r="J25" s="158"/>
      <c r="N25" s="17"/>
      <c r="O25" s="17"/>
      <c r="P25" s="21"/>
      <c r="Q25" s="41"/>
      <c r="R25" s="42"/>
      <c r="S25" s="17"/>
      <c r="T25" s="21"/>
      <c r="U25" s="21"/>
      <c r="W25" s="17"/>
      <c r="X25" s="17"/>
      <c r="Y25" s="21"/>
      <c r="Z25" s="42"/>
      <c r="AA25" s="17"/>
      <c r="AB25" s="21"/>
      <c r="AC25" s="21"/>
    </row>
    <row r="26" spans="2:29" ht="15.75" thickBot="1" x14ac:dyDescent="0.3">
      <c r="B26" s="60"/>
      <c r="C26" s="145" t="s">
        <v>112</v>
      </c>
      <c r="D26" s="145"/>
      <c r="E26" s="146"/>
      <c r="F26" s="153">
        <f>'Data sheet'!Y56</f>
        <v>0</v>
      </c>
      <c r="G26" s="154"/>
      <c r="H26" s="17"/>
      <c r="I26" s="157"/>
      <c r="J26" s="158"/>
      <c r="N26" s="17"/>
      <c r="O26" s="17"/>
      <c r="P26" s="21"/>
      <c r="Q26" s="41"/>
      <c r="R26" s="42"/>
      <c r="S26" s="17"/>
      <c r="T26" s="21"/>
      <c r="U26" s="21"/>
      <c r="W26" s="17"/>
      <c r="X26" s="17"/>
      <c r="Y26" s="21"/>
      <c r="Z26" s="42"/>
      <c r="AA26" s="17"/>
      <c r="AB26" s="21"/>
      <c r="AC26" s="21"/>
    </row>
    <row r="27" spans="2:29" ht="15" x14ac:dyDescent="0.25">
      <c r="B27" s="60" t="str">
        <f>IF(C27="","",IFERROR(DATEDIF(C27,Results!F$11,"y"),0))</f>
        <v/>
      </c>
      <c r="C27" s="17"/>
      <c r="E27" s="21"/>
      <c r="F27" s="61"/>
      <c r="G27" s="25"/>
      <c r="H27" s="17"/>
      <c r="I27" s="157"/>
      <c r="J27" s="158"/>
      <c r="N27" s="17"/>
      <c r="O27" s="17"/>
      <c r="P27" s="21"/>
      <c r="Q27" s="41"/>
      <c r="R27" s="42"/>
      <c r="S27" s="17"/>
      <c r="T27" s="21"/>
      <c r="U27" s="21"/>
      <c r="W27" s="17"/>
      <c r="X27" s="17"/>
      <c r="Y27" s="21"/>
      <c r="Z27" s="42"/>
      <c r="AA27" s="17"/>
      <c r="AB27" s="21"/>
      <c r="AC27" s="21"/>
    </row>
    <row r="28" spans="2:29" ht="15" customHeight="1" x14ac:dyDescent="0.25">
      <c r="B28" s="60">
        <f>IF(C28="","",IFERROR(DATEDIF(C28,Results!F$11,"y"),0))</f>
        <v>0</v>
      </c>
      <c r="C28" s="164" t="s">
        <v>113</v>
      </c>
      <c r="D28" s="164"/>
      <c r="E28" s="164"/>
      <c r="F28" s="164"/>
      <c r="G28" s="164"/>
      <c r="H28" s="17"/>
      <c r="I28" s="170" t="s">
        <v>64</v>
      </c>
      <c r="J28" s="171"/>
      <c r="N28" s="17"/>
      <c r="O28" s="17"/>
      <c r="P28" s="21"/>
      <c r="Q28" s="41"/>
      <c r="R28" s="42"/>
      <c r="S28" s="17"/>
      <c r="T28" s="21"/>
      <c r="U28" s="21"/>
      <c r="W28" s="17"/>
      <c r="X28" s="17"/>
      <c r="Y28" s="21"/>
      <c r="Z28" s="42"/>
      <c r="AA28" s="17"/>
      <c r="AB28" s="21"/>
      <c r="AC28" s="21"/>
    </row>
    <row r="29" spans="2:29" ht="15.75" thickBot="1" x14ac:dyDescent="0.3">
      <c r="B29" s="60" t="str">
        <f>IF(C29="","",IFERROR(DATEDIF(C29,Results!F$11,"y"),0))</f>
        <v/>
      </c>
      <c r="C29" s="17"/>
      <c r="E29" s="21"/>
      <c r="F29" s="61"/>
      <c r="G29" s="25"/>
      <c r="H29" s="17"/>
      <c r="I29" s="170"/>
      <c r="J29" s="171"/>
      <c r="N29" s="17"/>
      <c r="O29" s="17"/>
      <c r="P29" s="21"/>
      <c r="Q29" s="41"/>
      <c r="R29" s="42"/>
      <c r="S29" s="17"/>
      <c r="T29" s="21"/>
      <c r="U29" s="21"/>
      <c r="W29" s="17"/>
      <c r="X29" s="17"/>
      <c r="Y29" s="21"/>
      <c r="Z29" s="42"/>
      <c r="AA29" s="17"/>
      <c r="AB29" s="21"/>
      <c r="AC29" s="21"/>
    </row>
    <row r="30" spans="2:29" ht="15.75" thickBot="1" x14ac:dyDescent="0.3">
      <c r="B30" s="60">
        <f>IF(C30="","",IFERROR(DATEDIF(C30,Results!F$11,"y"),0))</f>
        <v>0</v>
      </c>
      <c r="C30" s="145" t="s">
        <v>114</v>
      </c>
      <c r="D30" s="145"/>
      <c r="E30" s="146"/>
      <c r="F30" s="151" t="e">
        <f>'Data sheet'!X29</f>
        <v>#N/A</v>
      </c>
      <c r="G30" s="152"/>
      <c r="H30" s="17"/>
      <c r="I30" s="170"/>
      <c r="J30" s="171"/>
      <c r="N30" s="17"/>
      <c r="O30" s="17"/>
      <c r="P30" s="21"/>
      <c r="Q30" s="41"/>
      <c r="R30" s="42"/>
      <c r="S30" s="17"/>
      <c r="T30" s="21"/>
      <c r="U30" s="21"/>
      <c r="W30" s="17"/>
      <c r="X30" s="17"/>
      <c r="Y30" s="21"/>
      <c r="Z30" s="42"/>
      <c r="AA30" s="17"/>
      <c r="AB30" s="21"/>
      <c r="AC30" s="21"/>
    </row>
    <row r="31" spans="2:29" ht="15.75" thickBot="1" x14ac:dyDescent="0.3">
      <c r="B31" s="3"/>
      <c r="C31" s="87"/>
      <c r="D31" s="87"/>
      <c r="E31" s="87"/>
      <c r="F31" s="65"/>
      <c r="G31" s="65"/>
      <c r="I31" s="89"/>
      <c r="J31" s="90"/>
    </row>
    <row r="32" spans="2:29" ht="15" customHeight="1" thickBot="1" x14ac:dyDescent="0.3">
      <c r="B32" s="3"/>
      <c r="C32" s="155" t="s">
        <v>115</v>
      </c>
      <c r="D32" s="155"/>
      <c r="E32" s="156"/>
      <c r="F32" s="168" t="e">
        <f>'Data sheet'!X31-F26</f>
        <v>#N/A</v>
      </c>
      <c r="G32" s="169"/>
      <c r="I32" s="160" t="s">
        <v>65</v>
      </c>
      <c r="J32" s="161"/>
    </row>
    <row r="33" spans="2:10" ht="15" customHeight="1" x14ac:dyDescent="0.25">
      <c r="B33" s="3"/>
      <c r="C33" s="88"/>
      <c r="D33" s="88"/>
      <c r="E33" s="88"/>
      <c r="F33" s="67"/>
      <c r="G33" s="67"/>
      <c r="I33" s="160"/>
      <c r="J33" s="161"/>
    </row>
    <row r="34" spans="2:10" ht="15" customHeight="1" x14ac:dyDescent="0.25">
      <c r="B34" s="3"/>
      <c r="C34" s="69"/>
      <c r="D34" s="69"/>
      <c r="E34" s="69"/>
      <c r="F34" s="70"/>
      <c r="G34" s="70"/>
      <c r="I34" s="160"/>
      <c r="J34" s="161"/>
    </row>
    <row r="35" spans="2:10" ht="15" customHeight="1" thickBot="1" x14ac:dyDescent="0.3">
      <c r="B35" s="3"/>
      <c r="C35" s="88"/>
      <c r="D35" s="88"/>
      <c r="E35" s="88"/>
      <c r="F35" s="68"/>
      <c r="G35" s="68"/>
      <c r="I35" s="160" t="s">
        <v>66</v>
      </c>
      <c r="J35" s="161"/>
    </row>
    <row r="36" spans="2:10" ht="15.75" thickBot="1" x14ac:dyDescent="0.3">
      <c r="B36" s="3"/>
      <c r="C36" s="66" t="s">
        <v>116</v>
      </c>
      <c r="D36" s="66"/>
      <c r="E36" s="66"/>
      <c r="F36" s="153" t="e">
        <f>'Data sheet'!X31</f>
        <v>#N/A</v>
      </c>
      <c r="G36" s="159"/>
      <c r="I36" s="160"/>
      <c r="J36" s="161"/>
    </row>
    <row r="37" spans="2:10" ht="15" x14ac:dyDescent="0.25">
      <c r="B37" s="3"/>
      <c r="C37" s="66"/>
      <c r="D37" s="66"/>
      <c r="E37" s="66"/>
      <c r="F37" s="68"/>
      <c r="G37" s="88"/>
      <c r="I37" s="160"/>
      <c r="J37" s="161"/>
    </row>
    <row r="38" spans="2:10" ht="15.75" thickBot="1" x14ac:dyDescent="0.3">
      <c r="B38" s="18"/>
      <c r="C38" s="19"/>
      <c r="D38" s="19"/>
      <c r="E38" s="19"/>
      <c r="F38" s="19"/>
      <c r="G38" s="19"/>
      <c r="H38" s="19"/>
      <c r="I38" s="19"/>
      <c r="J38" s="20"/>
    </row>
    <row r="39" spans="2:10" ht="15.75" thickTop="1" x14ac:dyDescent="0.25"/>
    <row r="40" spans="2:10" ht="15" x14ac:dyDescent="0.25"/>
    <row r="41" spans="2:10" ht="15" customHeight="1" x14ac:dyDescent="0.25"/>
    <row r="42" spans="2:10" ht="15" hidden="1" customHeight="1" x14ac:dyDescent="0.25"/>
    <row r="43" spans="2:10" ht="15" hidden="1" customHeight="1" x14ac:dyDescent="0.25"/>
  </sheetData>
  <sheetProtection algorithmName="SHA-512" hashValue="w2RE+vpTy7PavoNt1dEKbVHmacisDwkmjATmrVx8VDvk2Jy8yuAGmFFzH7TdRnifidNCWoak/UPCQoUHRYAVCg==" saltValue="JBxTlGfIsEbBGpKzlKwwSw==" spinCount="100000" sheet="1" selectLockedCells="1" selectUnlockedCells="1"/>
  <mergeCells count="30">
    <mergeCell ref="I35:J37"/>
    <mergeCell ref="I18:J22"/>
    <mergeCell ref="I23:J27"/>
    <mergeCell ref="I28:J30"/>
    <mergeCell ref="I32:J34"/>
    <mergeCell ref="C30:E30"/>
    <mergeCell ref="F30:G30"/>
    <mergeCell ref="C32:E32"/>
    <mergeCell ref="F32:G32"/>
    <mergeCell ref="F36:G36"/>
    <mergeCell ref="C28:G28"/>
    <mergeCell ref="C14:E14"/>
    <mergeCell ref="F14:G14"/>
    <mergeCell ref="C16:G16"/>
    <mergeCell ref="C18:E18"/>
    <mergeCell ref="F18:G18"/>
    <mergeCell ref="C20:E20"/>
    <mergeCell ref="F20:G20"/>
    <mergeCell ref="C22:G22"/>
    <mergeCell ref="C24:E24"/>
    <mergeCell ref="F24:G24"/>
    <mergeCell ref="C26:E26"/>
    <mergeCell ref="F26:G26"/>
    <mergeCell ref="D5:J5"/>
    <mergeCell ref="C10:E10"/>
    <mergeCell ref="F10:G10"/>
    <mergeCell ref="C12:E12"/>
    <mergeCell ref="F12:G12"/>
    <mergeCell ref="C8:E8"/>
    <mergeCell ref="I12:J16"/>
  </mergeCells>
  <conditionalFormatting sqref="E11 E13 E15 E17 E19 E27 E29">
    <cfRule type="expression" dxfId="4" priority="1">
      <formula>$U11&gt;0</formula>
    </cfRule>
  </conditionalFormatting>
  <conditionalFormatting sqref="J11">
    <cfRule type="expression" dxfId="3" priority="3">
      <formula>$AC$11&gt;0</formula>
    </cfRule>
  </conditionalFormatting>
  <conditionalFormatting sqref="J17">
    <cfRule type="expression" dxfId="2" priority="2">
      <formula>$AC17&gt;0</formula>
    </cfRule>
  </conditionalFormatting>
  <dataValidations count="2">
    <dataValidation type="date" operator="greaterThanOrEqual" allowBlank="1" showInputMessage="1" showErrorMessage="1" errorTitle="Proposed gift" error="The gift entered can't be in the past" sqref="H11:H30" xr:uid="{93A07B4D-3D48-4BDF-845E-3C3430487DB9}">
      <formula1>D$7</formula1>
    </dataValidation>
    <dataValidation type="list" allowBlank="1" showInputMessage="1" showErrorMessage="1" sqref="D11" xr:uid="{6488E613-E38F-4240-87C4-AADADFFD9941}">
      <formula1>Type_of_gift</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5FF53-D2F8-491B-8870-1DC06926987B}">
  <dimension ref="A1:AC43"/>
  <sheetViews>
    <sheetView showGridLines="0" showRowColHeaders="0" zoomScaleNormal="100" workbookViewId="0">
      <selection activeCell="E6" sqref="E6"/>
    </sheetView>
  </sheetViews>
  <sheetFormatPr defaultColWidth="0" defaultRowHeight="0" customHeight="1" zeroHeight="1" x14ac:dyDescent="0.25"/>
  <cols>
    <col min="1" max="2" width="9.140625" customWidth="1"/>
    <col min="3" max="3" width="14.7109375" customWidth="1"/>
    <col min="4" max="4" width="11.7109375" customWidth="1"/>
    <col min="5" max="5" width="18.28515625" customWidth="1"/>
    <col min="6" max="6" width="14.28515625" customWidth="1"/>
    <col min="7" max="7" width="12.28515625" customWidth="1"/>
    <col min="8" max="8" width="5.7109375" customWidth="1"/>
    <col min="9" max="9" width="11.7109375" customWidth="1"/>
    <col min="10" max="10" width="24.7109375" customWidth="1"/>
    <col min="11" max="11" width="9.140625" customWidth="1"/>
    <col min="12" max="13" width="9.140625" hidden="1" customWidth="1"/>
    <col min="14" max="14" width="10.7109375" hidden="1" customWidth="1"/>
    <col min="15" max="15" width="9.140625" hidden="1" customWidth="1"/>
    <col min="16" max="16" width="12.5703125" hidden="1" customWidth="1"/>
    <col min="17" max="17" width="11" hidden="1" customWidth="1"/>
    <col min="18" max="18" width="9.140625" hidden="1" customWidth="1"/>
    <col min="19" max="19" width="10.7109375" hidden="1" customWidth="1"/>
    <col min="20" max="20" width="12.7109375" hidden="1" customWidth="1"/>
    <col min="21" max="21" width="12.5703125" hidden="1" customWidth="1"/>
    <col min="22" max="22" width="9.140625" hidden="1" customWidth="1"/>
    <col min="23" max="23" width="11.140625" hidden="1" customWidth="1"/>
    <col min="24" max="24" width="11.7109375" hidden="1" customWidth="1"/>
    <col min="25" max="25" width="12.5703125" hidden="1" customWidth="1"/>
    <col min="26" max="26" width="9.140625" hidden="1" customWidth="1"/>
    <col min="27" max="27" width="10.85546875" hidden="1" customWidth="1"/>
    <col min="28" max="28" width="12.7109375" hidden="1" customWidth="1"/>
    <col min="29" max="29" width="11.5703125" hidden="1" customWidth="1"/>
    <col min="30" max="16384" width="9.140625" hidden="1"/>
  </cols>
  <sheetData>
    <row r="1" spans="2:29" ht="15" x14ac:dyDescent="0.25"/>
    <row r="2" spans="2:29" ht="15.75" thickBot="1" x14ac:dyDescent="0.3"/>
    <row r="3" spans="2:29" ht="15.75" thickTop="1" x14ac:dyDescent="0.25">
      <c r="B3" s="1"/>
      <c r="C3" s="2"/>
      <c r="D3" s="2"/>
      <c r="E3" s="2"/>
      <c r="F3" s="2"/>
      <c r="G3" s="2"/>
      <c r="H3" s="2"/>
      <c r="I3" s="2"/>
      <c r="J3" s="8"/>
    </row>
    <row r="4" spans="2:29" ht="15" x14ac:dyDescent="0.25">
      <c r="B4" s="3"/>
      <c r="J4" s="9"/>
    </row>
    <row r="5" spans="2:29" ht="21" x14ac:dyDescent="0.35">
      <c r="B5" s="3"/>
      <c r="D5" s="91" t="s">
        <v>102</v>
      </c>
      <c r="E5" s="91"/>
      <c r="F5" s="91"/>
      <c r="G5" s="91"/>
      <c r="H5" s="91"/>
      <c r="I5" s="91"/>
      <c r="J5" s="140"/>
    </row>
    <row r="6" spans="2:29" ht="15" x14ac:dyDescent="0.25">
      <c r="B6" s="3"/>
      <c r="J6" s="9"/>
    </row>
    <row r="7" spans="2:29" ht="17.25" customHeight="1" x14ac:dyDescent="0.25">
      <c r="B7" s="3"/>
      <c r="C7" s="4"/>
      <c r="D7" s="29">
        <f ca="1">TODAY()</f>
        <v>46218</v>
      </c>
      <c r="E7" s="29">
        <f ca="1">DATE(YEAR(D7)-7,MONTH(D7),DAY(D7))</f>
        <v>43661</v>
      </c>
      <c r="F7" s="4"/>
      <c r="G7" s="4"/>
      <c r="H7" s="83"/>
      <c r="I7" s="83"/>
      <c r="J7" s="54"/>
    </row>
    <row r="8" spans="2:29" ht="15" customHeight="1" x14ac:dyDescent="0.25">
      <c r="B8" s="3"/>
      <c r="C8" s="149" t="str">
        <f>IF(Results!E7="","",Results!E7)</f>
        <v/>
      </c>
      <c r="D8" s="149"/>
      <c r="E8" s="149"/>
      <c r="F8" s="73" t="s">
        <v>117</v>
      </c>
      <c r="G8" s="86">
        <f>Results!F11</f>
        <v>0</v>
      </c>
      <c r="J8" s="55"/>
    </row>
    <row r="9" spans="2:29" ht="16.5" thickBot="1" x14ac:dyDescent="0.3">
      <c r="B9" s="3"/>
      <c r="C9" s="13"/>
      <c r="D9" s="13"/>
      <c r="E9" s="13"/>
      <c r="F9" s="13"/>
      <c r="G9" s="13"/>
      <c r="H9" s="13"/>
      <c r="I9" s="13"/>
      <c r="J9" s="56"/>
    </row>
    <row r="10" spans="2:29" ht="15.75" customHeight="1" thickBot="1" x14ac:dyDescent="0.3">
      <c r="B10" s="3"/>
      <c r="C10" s="142" t="s">
        <v>118</v>
      </c>
      <c r="D10" s="142"/>
      <c r="E10" s="142"/>
      <c r="F10" s="143">
        <f>SUM('Data sheet'!AF2:AF9)-'Gifting details'!J32</f>
        <v>766000</v>
      </c>
      <c r="G10" s="144"/>
      <c r="H10" s="57"/>
      <c r="I10" s="58"/>
      <c r="J10" s="59"/>
      <c r="N10" s="43"/>
      <c r="O10" s="44"/>
      <c r="P10" s="45"/>
      <c r="Q10" s="45"/>
      <c r="R10" s="79"/>
      <c r="S10" s="79"/>
      <c r="W10" s="43"/>
      <c r="X10" s="44"/>
      <c r="Y10" s="45"/>
      <c r="Z10" s="79"/>
      <c r="AA10" s="79"/>
    </row>
    <row r="11" spans="2:29" ht="15.75" thickBot="1" x14ac:dyDescent="0.3">
      <c r="B11" s="60">
        <f>IF(C11="","",IFERROR(DATEDIF(C11,Results!F$11,"y"),0))</f>
        <v>0</v>
      </c>
      <c r="C11" s="17" t="s">
        <v>105</v>
      </c>
      <c r="E11" s="21"/>
      <c r="F11" s="61"/>
      <c r="G11" s="25" t="str">
        <f t="shared" ref="G11" si="0">IF(F11="","",IF(F11&gt;=14,"Remove",""))</f>
        <v/>
      </c>
      <c r="H11" s="17"/>
      <c r="J11" s="62"/>
      <c r="N11" s="17"/>
      <c r="O11" s="17"/>
      <c r="P11" s="21"/>
      <c r="Q11" s="41"/>
      <c r="R11" s="42"/>
      <c r="S11" s="17"/>
      <c r="T11" s="21"/>
      <c r="U11" s="21"/>
      <c r="W11" s="17"/>
      <c r="X11" s="17"/>
      <c r="Y11" s="21"/>
      <c r="Z11" s="42"/>
      <c r="AA11" s="17"/>
      <c r="AB11" s="21"/>
      <c r="AC11" s="21"/>
    </row>
    <row r="12" spans="2:29" ht="15.75" customHeight="1" thickBot="1" x14ac:dyDescent="0.3">
      <c r="B12" s="60">
        <f>IF(C12="","",IFERROR(DATEDIF(C12,Results!F$11,"y"),0))</f>
        <v>0</v>
      </c>
      <c r="C12" s="145" t="s">
        <v>106</v>
      </c>
      <c r="D12" s="145"/>
      <c r="E12" s="146"/>
      <c r="F12" s="147">
        <f>SUM('Data sheet'!AF12:AF14)</f>
        <v>0</v>
      </c>
      <c r="G12" s="148"/>
      <c r="H12" s="17"/>
      <c r="I12" s="160" t="s">
        <v>61</v>
      </c>
      <c r="J12" s="161"/>
      <c r="N12" s="17"/>
      <c r="O12" s="17"/>
      <c r="P12" s="21"/>
      <c r="Q12" s="41"/>
      <c r="R12" s="42"/>
      <c r="S12" s="17"/>
      <c r="T12" s="21"/>
      <c r="U12" s="21"/>
      <c r="W12" s="17"/>
      <c r="X12" s="17"/>
      <c r="Y12" s="21"/>
      <c r="Z12" s="42"/>
      <c r="AA12" s="17"/>
      <c r="AB12" s="21"/>
      <c r="AC12" s="21"/>
    </row>
    <row r="13" spans="2:29" ht="15.75" thickBot="1" x14ac:dyDescent="0.3">
      <c r="B13" s="60" t="str">
        <f>IF(C13="","",IFERROR(DATEDIF(C13,Results!F$11,"y"),0))</f>
        <v/>
      </c>
      <c r="C13" s="17"/>
      <c r="E13" s="21"/>
      <c r="F13" s="61"/>
      <c r="G13" s="25"/>
      <c r="H13" s="17"/>
      <c r="I13" s="160"/>
      <c r="J13" s="161"/>
      <c r="N13" s="17"/>
      <c r="O13" s="17"/>
      <c r="P13" s="21"/>
      <c r="Q13" s="41"/>
      <c r="R13" s="42"/>
      <c r="S13" s="17"/>
      <c r="T13" s="21"/>
      <c r="U13" s="21"/>
      <c r="W13" s="17"/>
      <c r="X13" s="17"/>
      <c r="Y13" s="21"/>
      <c r="Z13" s="42"/>
      <c r="AA13" s="17"/>
      <c r="AB13" s="21"/>
      <c r="AC13" s="21"/>
    </row>
    <row r="14" spans="2:29" ht="15.75" thickBot="1" x14ac:dyDescent="0.3">
      <c r="B14" s="60">
        <f>IF(C14="","",IFERROR(DATEDIF(C14,Results!F$11,"y"),0))</f>
        <v>0</v>
      </c>
      <c r="C14" s="145" t="s">
        <v>107</v>
      </c>
      <c r="D14" s="145"/>
      <c r="E14" s="146"/>
      <c r="F14" s="151">
        <f>'Data sheet'!AF27</f>
        <v>766000</v>
      </c>
      <c r="G14" s="152"/>
      <c r="H14" s="17"/>
      <c r="I14" s="160"/>
      <c r="J14" s="161"/>
      <c r="N14" s="17"/>
      <c r="O14" s="17"/>
      <c r="P14" s="21"/>
      <c r="Q14" s="41"/>
      <c r="R14" s="42"/>
      <c r="S14" s="17"/>
      <c r="T14" s="21"/>
      <c r="U14" s="21"/>
      <c r="W14" s="17"/>
      <c r="X14" s="17"/>
      <c r="Y14" s="21"/>
      <c r="Z14" s="42"/>
      <c r="AA14" s="17"/>
      <c r="AB14" s="21"/>
      <c r="AC14" s="21"/>
    </row>
    <row r="15" spans="2:29" ht="15" x14ac:dyDescent="0.25">
      <c r="B15" s="60" t="str">
        <f>IF(C15="","",IFERROR(DATEDIF(C15,Results!F$11,"y"),0))</f>
        <v/>
      </c>
      <c r="C15" s="17"/>
      <c r="E15" s="21"/>
      <c r="F15" s="61"/>
      <c r="G15" s="25"/>
      <c r="H15" s="17"/>
      <c r="I15" s="160"/>
      <c r="J15" s="161"/>
      <c r="N15" s="17"/>
      <c r="O15" s="17"/>
      <c r="P15" s="21"/>
      <c r="Q15" s="41"/>
      <c r="R15" s="42"/>
      <c r="S15" s="17"/>
      <c r="T15" s="21"/>
      <c r="U15" s="21"/>
      <c r="W15" s="17"/>
      <c r="X15" s="17"/>
      <c r="Y15" s="21"/>
      <c r="Z15" s="42"/>
      <c r="AA15" s="17"/>
      <c r="AB15" s="21"/>
      <c r="AC15" s="21"/>
    </row>
    <row r="16" spans="2:29" ht="15" x14ac:dyDescent="0.25">
      <c r="B16" s="60">
        <f>IF(C16="","",IFERROR(DATEDIF(C16,Results!F$11,"y"),0))</f>
        <v>0</v>
      </c>
      <c r="C16" s="164" t="s">
        <v>20</v>
      </c>
      <c r="D16" s="164"/>
      <c r="E16" s="164"/>
      <c r="F16" s="164"/>
      <c r="G16" s="164"/>
      <c r="H16" s="17"/>
      <c r="I16" s="160"/>
      <c r="J16" s="161"/>
      <c r="N16" s="17"/>
      <c r="O16" s="17"/>
      <c r="P16" s="21"/>
      <c r="Q16" s="41"/>
      <c r="R16" s="42"/>
      <c r="S16" s="17"/>
      <c r="T16" s="21"/>
      <c r="U16" s="21"/>
      <c r="W16" s="17"/>
      <c r="X16" s="17"/>
      <c r="Y16" s="21"/>
      <c r="Z16" s="42"/>
      <c r="AA16" s="17"/>
      <c r="AB16" s="21"/>
      <c r="AC16" s="21"/>
    </row>
    <row r="17" spans="2:29" ht="15.75" thickBot="1" x14ac:dyDescent="0.3">
      <c r="B17" s="60" t="str">
        <f>IF(C17="","",IFERROR(DATEDIF(C17,Results!F$11,"y"),0))</f>
        <v/>
      </c>
      <c r="C17" s="17"/>
      <c r="E17" s="21"/>
      <c r="F17" s="61"/>
      <c r="G17" s="25"/>
      <c r="H17" s="17"/>
      <c r="I17" s="160"/>
      <c r="J17" s="161"/>
      <c r="N17" s="17"/>
      <c r="O17" s="17"/>
      <c r="P17" s="21"/>
      <c r="Q17" s="41"/>
      <c r="R17" s="42"/>
      <c r="S17" s="17"/>
      <c r="T17" s="21"/>
      <c r="U17" s="21"/>
      <c r="W17" s="17"/>
      <c r="X17" s="17"/>
      <c r="Y17" s="21"/>
      <c r="Z17" s="42"/>
      <c r="AA17" s="17"/>
      <c r="AB17" s="21"/>
      <c r="AC17" s="21"/>
    </row>
    <row r="18" spans="2:29" ht="15.75" customHeight="1" thickBot="1" x14ac:dyDescent="0.3">
      <c r="B18" s="60">
        <f>IF(C18="","",IFERROR(DATEDIF(C18,Results!F$11,"y"),0))</f>
        <v>0</v>
      </c>
      <c r="C18" s="145" t="s">
        <v>108</v>
      </c>
      <c r="D18" s="145"/>
      <c r="E18" s="146"/>
      <c r="F18" s="151" t="e">
        <f>'Data sheet'!AF18</f>
        <v>#N/A</v>
      </c>
      <c r="G18" s="152"/>
      <c r="H18" s="17"/>
      <c r="I18" s="160" t="s">
        <v>62</v>
      </c>
      <c r="J18" s="161"/>
      <c r="N18" s="17"/>
      <c r="O18" s="17"/>
      <c r="P18" s="21"/>
      <c r="Q18" s="41"/>
      <c r="R18" s="42"/>
      <c r="S18" s="17"/>
      <c r="T18" s="21"/>
      <c r="U18" s="21"/>
      <c r="W18" s="17"/>
      <c r="X18" s="17"/>
      <c r="Y18" s="21"/>
      <c r="Z18" s="42"/>
      <c r="AA18" s="17"/>
      <c r="AB18" s="21"/>
      <c r="AC18" s="21"/>
    </row>
    <row r="19" spans="2:29" ht="15.75" thickBot="1" x14ac:dyDescent="0.3">
      <c r="B19" s="60" t="str">
        <f>IF(C19="","",IFERROR(DATEDIF(C19,Results!F$11,"y"),0))</f>
        <v/>
      </c>
      <c r="C19" s="17"/>
      <c r="E19" s="21"/>
      <c r="F19" s="61"/>
      <c r="G19" s="25"/>
      <c r="H19" s="17"/>
      <c r="I19" s="160"/>
      <c r="J19" s="161"/>
      <c r="N19" s="17"/>
      <c r="O19" s="17"/>
      <c r="P19" s="21"/>
      <c r="Q19" s="41"/>
      <c r="R19" s="42"/>
      <c r="S19" s="17"/>
      <c r="T19" s="21"/>
      <c r="U19" s="21"/>
      <c r="W19" s="17"/>
      <c r="X19" s="17"/>
      <c r="Y19" s="21"/>
      <c r="Z19" s="42"/>
      <c r="AA19" s="17"/>
      <c r="AB19" s="21"/>
      <c r="AC19" s="21"/>
    </row>
    <row r="20" spans="2:29" ht="15.75" thickBot="1" x14ac:dyDescent="0.3">
      <c r="B20" s="60">
        <f>IF(C20="","",IFERROR(DATEDIF(C20,Results!F$11,"y"),0))</f>
        <v>0</v>
      </c>
      <c r="C20" s="145" t="s">
        <v>109</v>
      </c>
      <c r="D20" s="145"/>
      <c r="E20" s="146"/>
      <c r="F20" s="151" t="e">
        <f>'Data sheet'!AF22</f>
        <v>#N/A</v>
      </c>
      <c r="G20" s="152"/>
      <c r="H20" s="17"/>
      <c r="I20" s="160"/>
      <c r="J20" s="161"/>
      <c r="N20" s="17"/>
      <c r="O20" s="17"/>
      <c r="P20" s="21"/>
      <c r="Q20" s="41"/>
      <c r="R20" s="42"/>
      <c r="S20" s="17"/>
      <c r="T20" s="21"/>
      <c r="U20" s="21"/>
      <c r="W20" s="17"/>
      <c r="X20" s="17"/>
      <c r="Y20" s="21"/>
      <c r="Z20" s="42"/>
      <c r="AA20" s="17"/>
      <c r="AB20" s="21"/>
      <c r="AC20" s="21"/>
    </row>
    <row r="21" spans="2:29" ht="15" x14ac:dyDescent="0.25">
      <c r="B21" s="60"/>
      <c r="C21" s="87"/>
      <c r="D21" s="87"/>
      <c r="E21" s="87"/>
      <c r="F21" s="63"/>
      <c r="G21" s="63"/>
      <c r="H21" s="17"/>
      <c r="I21" s="160"/>
      <c r="J21" s="161"/>
      <c r="N21" s="17"/>
      <c r="O21" s="17"/>
      <c r="P21" s="21"/>
      <c r="Q21" s="41"/>
      <c r="R21" s="42"/>
      <c r="S21" s="17"/>
      <c r="T21" s="21"/>
      <c r="U21" s="21"/>
      <c r="W21" s="17"/>
      <c r="X21" s="17"/>
      <c r="Y21" s="21"/>
      <c r="Z21" s="42"/>
      <c r="AA21" s="17"/>
      <c r="AB21" s="21"/>
      <c r="AC21" s="21"/>
    </row>
    <row r="22" spans="2:29" ht="15" x14ac:dyDescent="0.25">
      <c r="B22" s="60"/>
      <c r="C22" s="150" t="s">
        <v>110</v>
      </c>
      <c r="D22" s="150"/>
      <c r="E22" s="150"/>
      <c r="F22" s="150"/>
      <c r="G22" s="150"/>
      <c r="H22" s="17"/>
      <c r="I22" s="160"/>
      <c r="J22" s="161"/>
      <c r="N22" s="17"/>
      <c r="O22" s="17"/>
      <c r="P22" s="21"/>
      <c r="Q22" s="41"/>
      <c r="R22" s="42"/>
      <c r="S22" s="17"/>
      <c r="T22" s="21"/>
      <c r="U22" s="21"/>
      <c r="W22" s="17"/>
      <c r="X22" s="17"/>
      <c r="Y22" s="21"/>
      <c r="Z22" s="42"/>
      <c r="AA22" s="17"/>
      <c r="AB22" s="21"/>
      <c r="AC22" s="21"/>
    </row>
    <row r="23" spans="2:29" ht="15.75" thickBot="1" x14ac:dyDescent="0.3">
      <c r="B23" s="60"/>
      <c r="C23" s="87"/>
      <c r="D23" s="87"/>
      <c r="E23" s="87"/>
      <c r="F23" s="87"/>
      <c r="G23" s="87"/>
      <c r="H23" s="17"/>
      <c r="I23" s="160" t="s">
        <v>63</v>
      </c>
      <c r="J23" s="161"/>
      <c r="N23" s="17"/>
      <c r="O23" s="17"/>
      <c r="P23" s="21"/>
      <c r="Q23" s="41"/>
      <c r="R23" s="42"/>
      <c r="S23" s="17"/>
      <c r="T23" s="21"/>
      <c r="U23" s="21"/>
      <c r="W23" s="17"/>
      <c r="X23" s="17"/>
      <c r="Y23" s="21"/>
      <c r="Z23" s="42"/>
      <c r="AA23" s="17"/>
      <c r="AB23" s="21"/>
      <c r="AC23" s="21"/>
    </row>
    <row r="24" spans="2:29" ht="15.75" thickBot="1" x14ac:dyDescent="0.3">
      <c r="B24" s="60"/>
      <c r="C24" s="145" t="s">
        <v>119</v>
      </c>
      <c r="D24" s="145"/>
      <c r="E24" s="146"/>
      <c r="F24" s="166">
        <f>'Data sheet'!AF10</f>
        <v>0</v>
      </c>
      <c r="G24" s="167"/>
      <c r="H24" s="17"/>
      <c r="I24" s="160"/>
      <c r="J24" s="161"/>
      <c r="N24" s="17"/>
      <c r="O24" s="17"/>
      <c r="P24" s="21"/>
      <c r="Q24" s="41"/>
      <c r="R24" s="42"/>
      <c r="S24" s="17"/>
      <c r="T24" s="21"/>
      <c r="U24" s="21"/>
      <c r="W24" s="17"/>
      <c r="X24" s="17"/>
      <c r="Y24" s="21"/>
      <c r="Z24" s="42"/>
      <c r="AA24" s="17"/>
      <c r="AB24" s="21"/>
      <c r="AC24" s="21"/>
    </row>
    <row r="25" spans="2:29" ht="15.75" thickBot="1" x14ac:dyDescent="0.3">
      <c r="B25" s="60"/>
      <c r="C25" s="87"/>
      <c r="D25" s="87"/>
      <c r="E25" s="87"/>
      <c r="F25" s="64"/>
      <c r="G25" s="64"/>
      <c r="H25" s="17"/>
      <c r="I25" s="160"/>
      <c r="J25" s="161"/>
      <c r="N25" s="17"/>
      <c r="O25" s="17"/>
      <c r="P25" s="21"/>
      <c r="Q25" s="41"/>
      <c r="R25" s="42"/>
      <c r="S25" s="17"/>
      <c r="T25" s="21"/>
      <c r="U25" s="21"/>
      <c r="W25" s="17"/>
      <c r="X25" s="17"/>
      <c r="Y25" s="21"/>
      <c r="Z25" s="42"/>
      <c r="AA25" s="17"/>
      <c r="AB25" s="21"/>
      <c r="AC25" s="21"/>
    </row>
    <row r="26" spans="2:29" ht="15.75" thickBot="1" x14ac:dyDescent="0.3">
      <c r="B26" s="60"/>
      <c r="C26" s="155" t="s">
        <v>112</v>
      </c>
      <c r="D26" s="155"/>
      <c r="E26" s="156"/>
      <c r="F26" s="153">
        <f>'Data sheet'!AG56+'Data sheet'!Y56</f>
        <v>0</v>
      </c>
      <c r="G26" s="154"/>
      <c r="H26" s="17"/>
      <c r="I26" s="160"/>
      <c r="J26" s="161"/>
      <c r="N26" s="17"/>
      <c r="O26" s="17"/>
      <c r="P26" s="21"/>
      <c r="Q26" s="41"/>
      <c r="R26" s="42"/>
      <c r="S26" s="17"/>
      <c r="T26" s="21"/>
      <c r="U26" s="21"/>
      <c r="W26" s="17"/>
      <c r="X26" s="17"/>
      <c r="Y26" s="21"/>
      <c r="Z26" s="42"/>
      <c r="AA26" s="17"/>
      <c r="AB26" s="21"/>
      <c r="AC26" s="21"/>
    </row>
    <row r="27" spans="2:29" ht="15" x14ac:dyDescent="0.25">
      <c r="B27" s="60" t="str">
        <f>IF(C27="","",IFERROR(DATEDIF(C27,Results!F$11,"y"),0))</f>
        <v/>
      </c>
      <c r="C27" s="17"/>
      <c r="E27" s="21"/>
      <c r="F27" s="61"/>
      <c r="G27" s="25"/>
      <c r="H27" s="17"/>
      <c r="I27" s="160"/>
      <c r="J27" s="161"/>
      <c r="N27" s="17"/>
      <c r="O27" s="17"/>
      <c r="P27" s="21"/>
      <c r="Q27" s="41"/>
      <c r="R27" s="42"/>
      <c r="S27" s="17"/>
      <c r="T27" s="21"/>
      <c r="U27" s="21"/>
      <c r="W27" s="17"/>
      <c r="X27" s="17"/>
      <c r="Y27" s="21"/>
      <c r="Z27" s="42"/>
      <c r="AA27" s="17"/>
      <c r="AB27" s="21"/>
      <c r="AC27" s="21"/>
    </row>
    <row r="28" spans="2:29" ht="15" x14ac:dyDescent="0.25">
      <c r="B28" s="60">
        <f>IF(C28="","",IFERROR(DATEDIF(C28,Results!F$11,"y"),0))</f>
        <v>0</v>
      </c>
      <c r="C28" s="164" t="s">
        <v>113</v>
      </c>
      <c r="D28" s="164"/>
      <c r="E28" s="164"/>
      <c r="F28" s="164"/>
      <c r="G28" s="164"/>
      <c r="H28" s="17"/>
      <c r="I28" s="160" t="s">
        <v>64</v>
      </c>
      <c r="J28" s="161"/>
      <c r="N28" s="17"/>
      <c r="O28" s="17"/>
      <c r="P28" s="21"/>
      <c r="Q28" s="41"/>
      <c r="R28" s="42"/>
      <c r="S28" s="17"/>
      <c r="T28" s="21"/>
      <c r="U28" s="21"/>
      <c r="W28" s="17"/>
      <c r="X28" s="17"/>
      <c r="Y28" s="21"/>
      <c r="Z28" s="42"/>
      <c r="AA28" s="17"/>
      <c r="AB28" s="21"/>
      <c r="AC28" s="21"/>
    </row>
    <row r="29" spans="2:29" ht="15.75" thickBot="1" x14ac:dyDescent="0.3">
      <c r="B29" s="60" t="str">
        <f>IF(C29="","",IFERROR(DATEDIF(C29,Results!F$11,"y"),0))</f>
        <v/>
      </c>
      <c r="C29" s="17"/>
      <c r="E29" s="21"/>
      <c r="F29" s="61"/>
      <c r="G29" s="25"/>
      <c r="H29" s="17"/>
      <c r="I29" s="160"/>
      <c r="J29" s="161"/>
      <c r="N29" s="17"/>
      <c r="O29" s="17"/>
      <c r="P29" s="21"/>
      <c r="Q29" s="41"/>
      <c r="R29" s="42"/>
      <c r="S29" s="17"/>
      <c r="T29" s="21"/>
      <c r="U29" s="21"/>
      <c r="W29" s="17"/>
      <c r="X29" s="17"/>
      <c r="Y29" s="21"/>
      <c r="Z29" s="42"/>
      <c r="AA29" s="17"/>
      <c r="AB29" s="21"/>
      <c r="AC29" s="21"/>
    </row>
    <row r="30" spans="2:29" ht="15.75" thickBot="1" x14ac:dyDescent="0.3">
      <c r="B30" s="60">
        <f>IF(C30="","",IFERROR(DATEDIF(C30,Results!F$11,"y"),0))</f>
        <v>0</v>
      </c>
      <c r="C30" s="145" t="s">
        <v>114</v>
      </c>
      <c r="D30" s="145"/>
      <c r="E30" s="146"/>
      <c r="F30" s="151" t="e">
        <f>'Data sheet'!AF29</f>
        <v>#N/A</v>
      </c>
      <c r="G30" s="152"/>
      <c r="H30" s="17"/>
      <c r="I30" s="160"/>
      <c r="J30" s="161"/>
      <c r="N30" s="17"/>
      <c r="O30" s="17"/>
      <c r="P30" s="21"/>
      <c r="Q30" s="41"/>
      <c r="R30" s="42"/>
      <c r="S30" s="17"/>
      <c r="T30" s="21"/>
      <c r="U30" s="21"/>
      <c r="W30" s="17"/>
      <c r="X30" s="17"/>
      <c r="Y30" s="21"/>
      <c r="Z30" s="42"/>
      <c r="AA30" s="17"/>
      <c r="AB30" s="21"/>
      <c r="AC30" s="21"/>
    </row>
    <row r="31" spans="2:29" ht="15.75" thickBot="1" x14ac:dyDescent="0.3">
      <c r="B31" s="3"/>
      <c r="C31" s="87"/>
      <c r="D31" s="87"/>
      <c r="E31" s="87"/>
      <c r="F31" s="65"/>
      <c r="G31" s="65"/>
      <c r="I31" s="160"/>
      <c r="J31" s="161"/>
    </row>
    <row r="32" spans="2:29" ht="15" customHeight="1" thickBot="1" x14ac:dyDescent="0.3">
      <c r="B32" s="3"/>
      <c r="C32" s="155" t="s">
        <v>115</v>
      </c>
      <c r="D32" s="155"/>
      <c r="E32" s="156"/>
      <c r="F32" s="168" t="e">
        <f>'Data sheet'!AF31-F26</f>
        <v>#N/A</v>
      </c>
      <c r="G32" s="169"/>
      <c r="I32" s="160" t="s">
        <v>65</v>
      </c>
      <c r="J32" s="161"/>
    </row>
    <row r="33" spans="2:10" ht="15" customHeight="1" x14ac:dyDescent="0.25">
      <c r="B33" s="3"/>
      <c r="C33" s="88"/>
      <c r="D33" s="88"/>
      <c r="E33" s="88"/>
      <c r="F33" s="67"/>
      <c r="G33" s="67"/>
      <c r="I33" s="160"/>
      <c r="J33" s="161"/>
    </row>
    <row r="34" spans="2:10" ht="15" customHeight="1" x14ac:dyDescent="0.25">
      <c r="B34" s="3"/>
      <c r="C34" s="69"/>
      <c r="D34" s="69"/>
      <c r="E34" s="69"/>
      <c r="F34" s="70"/>
      <c r="G34" s="70"/>
      <c r="I34" s="160"/>
      <c r="J34" s="161"/>
    </row>
    <row r="35" spans="2:10" ht="15" customHeight="1" thickBot="1" x14ac:dyDescent="0.3">
      <c r="B35" s="3"/>
      <c r="C35" s="88"/>
      <c r="D35" s="88"/>
      <c r="E35" s="88"/>
      <c r="F35" s="68"/>
      <c r="G35" s="68"/>
      <c r="I35" s="160" t="s">
        <v>66</v>
      </c>
      <c r="J35" s="161"/>
    </row>
    <row r="36" spans="2:10" ht="15.75" thickBot="1" x14ac:dyDescent="0.3">
      <c r="B36" s="3"/>
      <c r="C36" s="66" t="s">
        <v>116</v>
      </c>
      <c r="D36" s="66"/>
      <c r="E36" s="66"/>
      <c r="F36" s="153" t="e">
        <f>'Data sheet'!AF31</f>
        <v>#N/A</v>
      </c>
      <c r="G36" s="159"/>
      <c r="I36" s="160"/>
      <c r="J36" s="161"/>
    </row>
    <row r="37" spans="2:10" ht="15" x14ac:dyDescent="0.25">
      <c r="B37" s="3"/>
      <c r="C37" s="66"/>
      <c r="D37" s="66"/>
      <c r="E37" s="66"/>
      <c r="F37" s="68"/>
      <c r="G37" s="88"/>
      <c r="I37" s="160"/>
      <c r="J37" s="161"/>
    </row>
    <row r="38" spans="2:10" ht="15.75" thickBot="1" x14ac:dyDescent="0.3">
      <c r="B38" s="18"/>
      <c r="C38" s="19"/>
      <c r="D38" s="19"/>
      <c r="E38" s="19"/>
      <c r="F38" s="19"/>
      <c r="G38" s="19"/>
      <c r="H38" s="19"/>
      <c r="I38" s="19"/>
      <c r="J38" s="20"/>
    </row>
    <row r="39" spans="2:10" ht="15.75" thickTop="1" x14ac:dyDescent="0.25"/>
    <row r="40" spans="2:10" ht="15" x14ac:dyDescent="0.25"/>
    <row r="41" spans="2:10" ht="15" customHeight="1" x14ac:dyDescent="0.25"/>
    <row r="42" spans="2:10" ht="15" hidden="1" customHeight="1" x14ac:dyDescent="0.25"/>
    <row r="43" spans="2:10" ht="15" hidden="1" customHeight="1" x14ac:dyDescent="0.25"/>
  </sheetData>
  <sheetProtection algorithmName="SHA-512" hashValue="JaGlo2FUjS9s4S8LdFMy0MN6VDzZ4DPMMH9UXc0YQ8smhKDL3ATc+KZJ9ove4gsg6NJeRmmtTZGbf5CXAFe8Tg==" saltValue="Xh7pFxZZhW3oakNZupxHog==" spinCount="100000" sheet="1" selectLockedCells="1" selectUnlockedCells="1"/>
  <mergeCells count="30">
    <mergeCell ref="I35:J37"/>
    <mergeCell ref="I18:J22"/>
    <mergeCell ref="I23:J27"/>
    <mergeCell ref="I28:J31"/>
    <mergeCell ref="I32:J34"/>
    <mergeCell ref="C30:E30"/>
    <mergeCell ref="F30:G30"/>
    <mergeCell ref="C32:E32"/>
    <mergeCell ref="F32:G32"/>
    <mergeCell ref="F36:G36"/>
    <mergeCell ref="C28:G28"/>
    <mergeCell ref="C14:E14"/>
    <mergeCell ref="F14:G14"/>
    <mergeCell ref="C16:G16"/>
    <mergeCell ref="C18:E18"/>
    <mergeCell ref="F18:G18"/>
    <mergeCell ref="C20:E20"/>
    <mergeCell ref="F20:G20"/>
    <mergeCell ref="C22:G22"/>
    <mergeCell ref="C24:E24"/>
    <mergeCell ref="F24:G24"/>
    <mergeCell ref="C26:E26"/>
    <mergeCell ref="F26:G26"/>
    <mergeCell ref="D5:J5"/>
    <mergeCell ref="C8:E8"/>
    <mergeCell ref="C10:E10"/>
    <mergeCell ref="F10:G10"/>
    <mergeCell ref="C12:E12"/>
    <mergeCell ref="F12:G12"/>
    <mergeCell ref="I12:J17"/>
  </mergeCells>
  <conditionalFormatting sqref="E11 E13 E15 E17 E19 E27 E29">
    <cfRule type="expression" dxfId="1" priority="1">
      <formula>$U11&gt;0</formula>
    </cfRule>
  </conditionalFormatting>
  <conditionalFormatting sqref="J11">
    <cfRule type="expression" dxfId="0" priority="3">
      <formula>$AC$11&gt;0</formula>
    </cfRule>
  </conditionalFormatting>
  <dataValidations count="2">
    <dataValidation type="list" allowBlank="1" showInputMessage="1" showErrorMessage="1" sqref="D11" xr:uid="{E8EE24B4-08D6-4193-B2D8-68A202832639}">
      <formula1>Type_of_gift</formula1>
    </dataValidation>
    <dataValidation type="date" operator="greaterThanOrEqual" allowBlank="1" showInputMessage="1" showErrorMessage="1" errorTitle="Proposed gift" error="The gift entered can't be in the past" sqref="H11:H30" xr:uid="{6EAD2A56-8570-4E1D-9D81-5160F2E66E3E}">
      <formula1>D$7</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31664-5FE1-4E98-A45C-0FE505FF3B98}">
  <dimension ref="A1:C17"/>
  <sheetViews>
    <sheetView workbookViewId="0">
      <selection activeCell="D13" sqref="D13"/>
    </sheetView>
  </sheetViews>
  <sheetFormatPr defaultRowHeight="15" x14ac:dyDescent="0.25"/>
  <cols>
    <col min="3" max="3" width="51.140625" bestFit="1" customWidth="1"/>
  </cols>
  <sheetData>
    <row r="1" spans="1:3" x14ac:dyDescent="0.25">
      <c r="A1" t="s">
        <v>120</v>
      </c>
    </row>
    <row r="3" spans="1:3" x14ac:dyDescent="0.25">
      <c r="A3" s="38" t="s">
        <v>121</v>
      </c>
      <c r="B3" s="76">
        <v>45108</v>
      </c>
      <c r="C3" s="38" t="s">
        <v>122</v>
      </c>
    </row>
    <row r="4" spans="1:3" x14ac:dyDescent="0.25">
      <c r="A4" s="38" t="s">
        <v>123</v>
      </c>
      <c r="B4" s="76">
        <v>45383</v>
      </c>
      <c r="C4" s="38" t="s">
        <v>124</v>
      </c>
    </row>
    <row r="5" spans="1:3" x14ac:dyDescent="0.25">
      <c r="A5" s="38" t="s">
        <v>125</v>
      </c>
      <c r="B5" s="76">
        <v>45474</v>
      </c>
      <c r="C5" s="38" t="s">
        <v>126</v>
      </c>
    </row>
    <row r="6" spans="1:3" x14ac:dyDescent="0.25">
      <c r="A6" s="38" t="s">
        <v>127</v>
      </c>
      <c r="B6" s="76">
        <v>45566</v>
      </c>
      <c r="C6" s="38" t="s">
        <v>128</v>
      </c>
    </row>
    <row r="7" spans="1:3" x14ac:dyDescent="0.25">
      <c r="A7" s="38"/>
      <c r="B7" s="38"/>
      <c r="C7" s="38"/>
    </row>
    <row r="8" spans="1:3" x14ac:dyDescent="0.25">
      <c r="A8" s="38"/>
      <c r="B8" s="38"/>
      <c r="C8" s="38"/>
    </row>
    <row r="9" spans="1:3" x14ac:dyDescent="0.25">
      <c r="A9" s="38"/>
      <c r="B9" s="38"/>
      <c r="C9" s="38"/>
    </row>
    <row r="10" spans="1:3" x14ac:dyDescent="0.25">
      <c r="A10" s="38"/>
      <c r="B10" s="38"/>
      <c r="C10" s="38"/>
    </row>
    <row r="11" spans="1:3" x14ac:dyDescent="0.25">
      <c r="A11" s="38"/>
      <c r="B11" s="38"/>
      <c r="C11" s="38"/>
    </row>
    <row r="12" spans="1:3" x14ac:dyDescent="0.25">
      <c r="A12" s="38"/>
      <c r="B12" s="38"/>
      <c r="C12" s="38"/>
    </row>
    <row r="13" spans="1:3" x14ac:dyDescent="0.25">
      <c r="A13" s="38"/>
      <c r="B13" s="38"/>
      <c r="C13" s="38"/>
    </row>
    <row r="14" spans="1:3" x14ac:dyDescent="0.25">
      <c r="A14" s="38"/>
      <c r="B14" s="38"/>
      <c r="C14" s="38"/>
    </row>
    <row r="15" spans="1:3" x14ac:dyDescent="0.25">
      <c r="A15" s="38"/>
      <c r="B15" s="38"/>
      <c r="C15" s="38"/>
    </row>
    <row r="16" spans="1:3" x14ac:dyDescent="0.25">
      <c r="A16" s="38"/>
      <c r="B16" s="38"/>
      <c r="C16" s="38"/>
    </row>
    <row r="17" spans="1:3" x14ac:dyDescent="0.25">
      <c r="A17" s="38"/>
      <c r="B17" s="38"/>
      <c r="C17" s="3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406731d-9f5a-4a79-be91-b3c631be9543">
      <Terms xmlns="http://schemas.microsoft.com/office/infopath/2007/PartnerControls"/>
    </lcf76f155ced4ddcb4097134ff3c332f>
    <TaxCatchAll xmlns="6afbcf95-dc46-4c9d-8f85-fba641a1d2e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14A77CEB4BD94C8AA6F864E0E1E0F0" ma:contentTypeVersion="18" ma:contentTypeDescription="Create a new document." ma:contentTypeScope="" ma:versionID="34c9bc844f93fa874cef005947d8df7f">
  <xsd:schema xmlns:xsd="http://www.w3.org/2001/XMLSchema" xmlns:xs="http://www.w3.org/2001/XMLSchema" xmlns:p="http://schemas.microsoft.com/office/2006/metadata/properties" xmlns:ns2="9406731d-9f5a-4a79-be91-b3c631be9543" xmlns:ns3="6afbcf95-dc46-4c9d-8f85-fba641a1d2ea" targetNamespace="http://schemas.microsoft.com/office/2006/metadata/properties" ma:root="true" ma:fieldsID="bca217c6d2e8a03c014f1493517b33c6" ns2:_="" ns3:_="">
    <xsd:import namespace="9406731d-9f5a-4a79-be91-b3c631be9543"/>
    <xsd:import namespace="6afbcf95-dc46-4c9d-8f85-fba641a1d2e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06731d-9f5a-4a79-be91-b3c631be954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3f2afa00-c010-483a-81d7-5ec2d9895e8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fbcf95-dc46-4c9d-8f85-fba641a1d2ea"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641ea8e-a4ed-4b4e-98f0-2bab0db2d818}" ma:internalName="TaxCatchAll" ma:showField="CatchAllData" ma:web="6afbcf95-dc46-4c9d-8f85-fba641a1d2e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984D42-9F81-41AC-A0A5-1B481B5563D2}">
  <ds:schemaRefs>
    <ds:schemaRef ds:uri="http://schemas.microsoft.com/office/2006/metadata/properties"/>
    <ds:schemaRef ds:uri="http://schemas.microsoft.com/office/infopath/2007/PartnerControls"/>
    <ds:schemaRef ds:uri="9406731d-9f5a-4a79-be91-b3c631be9543"/>
    <ds:schemaRef ds:uri="6afbcf95-dc46-4c9d-8f85-fba641a1d2ea"/>
  </ds:schemaRefs>
</ds:datastoreItem>
</file>

<file path=customXml/itemProps2.xml><?xml version="1.0" encoding="utf-8"?>
<ds:datastoreItem xmlns:ds="http://schemas.openxmlformats.org/officeDocument/2006/customXml" ds:itemID="{94BF6AB3-85AA-4A62-B75F-CBB6D05B1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06731d-9f5a-4a79-be91-b3c631be9543"/>
    <ds:schemaRef ds:uri="6afbcf95-dc46-4c9d-8f85-fba641a1d2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7F1569-8473-47E0-81D5-5218F533468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Estate overview</vt:lpstr>
      <vt:lpstr>Gifting details</vt:lpstr>
      <vt:lpstr>Results</vt:lpstr>
      <vt:lpstr>Data sheet</vt:lpstr>
      <vt:lpstr>Current IHT calc</vt:lpstr>
      <vt:lpstr>DoD IHT calc</vt:lpstr>
      <vt:lpstr>DoD post gifting calc</vt:lpstr>
      <vt:lpstr>Control sheet</vt:lpstr>
      <vt:lpstr>Current_NRB</vt:lpstr>
      <vt:lpstr>Current_RNRB</vt:lpstr>
      <vt:lpstr>IHTrate</vt:lpstr>
      <vt:lpstr>Liferate</vt:lpstr>
      <vt:lpstr>'Current IHT calc'!Print_Area</vt:lpstr>
      <vt:lpstr>RNRB_toggle</vt:lpstr>
      <vt:lpstr>Taper_limit</vt:lpstr>
      <vt:lpstr>Type_of_gift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Moore, Shaun</dc:creator>
  <cp:keywords/>
  <dc:description/>
  <cp:lastModifiedBy>Kyle Jenkinson</cp:lastModifiedBy>
  <cp:revision/>
  <dcterms:created xsi:type="dcterms:W3CDTF">2023-06-05T08:15:03Z</dcterms:created>
  <dcterms:modified xsi:type="dcterms:W3CDTF">2026-07-15T12:19:38Z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c98d367-e486-496c-b15f-fe4920252c73_Enabled">
    <vt:lpwstr>true</vt:lpwstr>
  </property>
  <property fmtid="{D5CDD505-2E9C-101B-9397-08002B2CF9AE}" pid="3" name="MSIP_Label_6c98d367-e486-496c-b15f-fe4920252c73_SetDate">
    <vt:lpwstr>2023-06-05T08:23:04Z</vt:lpwstr>
  </property>
  <property fmtid="{D5CDD505-2E9C-101B-9397-08002B2CF9AE}" pid="4" name="MSIP_Label_6c98d367-e486-496c-b15f-fe4920252c73_Method">
    <vt:lpwstr>Privileged</vt:lpwstr>
  </property>
  <property fmtid="{D5CDD505-2E9C-101B-9397-08002B2CF9AE}" pid="5" name="MSIP_Label_6c98d367-e486-496c-b15f-fe4920252c73_Name">
    <vt:lpwstr>6c98d367-e486-496c-b15f-fe4920252c73</vt:lpwstr>
  </property>
  <property fmtid="{D5CDD505-2E9C-101B-9397-08002B2CF9AE}" pid="6" name="MSIP_Label_6c98d367-e486-496c-b15f-fe4920252c73_SiteId">
    <vt:lpwstr>0c5bd621-4db2-45d4-92c6-94708f93fa6e</vt:lpwstr>
  </property>
  <property fmtid="{D5CDD505-2E9C-101B-9397-08002B2CF9AE}" pid="7" name="MSIP_Label_6c98d367-e486-496c-b15f-fe4920252c73_ActionId">
    <vt:lpwstr>5b769c29-472f-4115-b9e8-5048e0b61df3</vt:lpwstr>
  </property>
  <property fmtid="{D5CDD505-2E9C-101B-9397-08002B2CF9AE}" pid="8" name="MSIP_Label_6c98d367-e486-496c-b15f-fe4920252c73_ContentBits">
    <vt:lpwstr>0</vt:lpwstr>
  </property>
  <property fmtid="{D5CDD505-2E9C-101B-9397-08002B2CF9AE}" pid="9" name="ContentTypeId">
    <vt:lpwstr>0x010100E914A77CEB4BD94C8AA6F864E0E1E0F0</vt:lpwstr>
  </property>
  <property fmtid="{D5CDD505-2E9C-101B-9397-08002B2CF9AE}" pid="10" name="MediaServiceImageTags">
    <vt:lpwstr/>
  </property>
</Properties>
</file>